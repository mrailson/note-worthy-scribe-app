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8_{480B07A6-3C18-4924-9AE4-E8DF382DF4EA}" xr6:coauthVersionLast="47" xr6:coauthVersionMax="47" xr10:uidLastSave="{00000000-0000-0000-0000-000000000000}"/>
  <bookViews>
    <workbookView xWindow="-110" yWindow="-110" windowWidth="19420" windowHeight="10300" activeTab="1" xr2:uid="{00000000-000D-0000-FFFF-FFFF00000000}"/>
  </bookViews>
  <sheets>
    <sheet name="About" sheetId="12" r:id="rId1"/>
    <sheet name="Project Schedule" sheetId="11" r:id="rId2"/>
  </sheets>
  <definedNames>
    <definedName name="Display_Week">'Project Schedule'!$E$6</definedName>
    <definedName name="_xlnm.Print_Titles" localSheetId="1">'Project Schedule'!$6:$8</definedName>
    <definedName name="Project_Start">'Project Schedule'!$E$5</definedName>
    <definedName name="task_end" localSheetId="1">'Project Schedule'!$F1</definedName>
    <definedName name="task_progress" localSheetId="1">'Project Schedule'!$D1</definedName>
    <definedName name="task_start" localSheetId="1">'Project Schedule'!$E1</definedName>
    <definedName name="today" localSheetId="1">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11" l="1"/>
  <c r="I40" i="11"/>
  <c r="I39" i="11"/>
  <c r="I38" i="11"/>
  <c r="I9" i="11"/>
  <c r="J7" i="11" l="1"/>
  <c r="J6" i="11" s="1"/>
  <c r="I24" i="11"/>
  <c r="I22" i="11"/>
  <c r="I20" i="11"/>
  <c r="I16" i="11"/>
  <c r="I10" i="11"/>
  <c r="I11" i="11" l="1"/>
  <c r="J8" i="11"/>
  <c r="I21" i="11" l="1"/>
  <c r="I14" i="11"/>
  <c r="K7" i="11"/>
  <c r="L7" i="11" s="1"/>
  <c r="M7" i="11" s="1"/>
  <c r="N7" i="11" s="1"/>
  <c r="O7" i="11" s="1"/>
  <c r="P7" i="11" s="1"/>
  <c r="Q7" i="11" s="1"/>
  <c r="I19" i="11" l="1"/>
  <c r="I18" i="11"/>
  <c r="I13" i="11"/>
  <c r="Q6" i="11"/>
  <c r="R7" i="11"/>
  <c r="S7" i="11" s="1"/>
  <c r="T7" i="11" s="1"/>
  <c r="U7" i="11" s="1"/>
  <c r="V7" i="11" s="1"/>
  <c r="W7" i="11" s="1"/>
  <c r="X7" i="11" s="1"/>
  <c r="K8" i="11"/>
  <c r="I17" i="11" l="1"/>
  <c r="X6" i="11"/>
  <c r="Y7" i="11"/>
  <c r="Z7" i="11" s="1"/>
  <c r="AA7" i="11" s="1"/>
  <c r="AB7" i="11" s="1"/>
  <c r="AC7" i="11" s="1"/>
  <c r="AD7" i="11" s="1"/>
  <c r="AE7" i="11" s="1"/>
  <c r="L8" i="11"/>
  <c r="AF7" i="11" l="1"/>
  <c r="AG7" i="11" s="1"/>
  <c r="AH7" i="11" s="1"/>
  <c r="AI7" i="11" s="1"/>
  <c r="AJ7" i="11" s="1"/>
  <c r="AK7" i="11" s="1"/>
  <c r="AE6" i="11"/>
  <c r="M8" i="11"/>
  <c r="AL7" i="11" l="1"/>
  <c r="AM7" i="11" s="1"/>
  <c r="AN7" i="11" s="1"/>
  <c r="AO7" i="11" s="1"/>
  <c r="AP7" i="11" s="1"/>
  <c r="AQ7" i="11" s="1"/>
  <c r="AR7" i="11" s="1"/>
  <c r="N8" i="11"/>
  <c r="AS7" i="11" l="1"/>
  <c r="AT7" i="11" s="1"/>
  <c r="AL6" i="11"/>
  <c r="O8" i="11"/>
  <c r="AU7" i="11" l="1"/>
  <c r="AT8" i="11"/>
  <c r="AS6" i="11"/>
  <c r="P8" i="11"/>
  <c r="AV7" i="11" l="1"/>
  <c r="AU8" i="11"/>
  <c r="AW7" i="11" l="1"/>
  <c r="AV8" i="11"/>
  <c r="Q8" i="11"/>
  <c r="R8" i="11"/>
  <c r="AX7" i="11" l="1"/>
  <c r="AW8" i="11"/>
  <c r="S8" i="11"/>
  <c r="AY7" i="11" l="1"/>
  <c r="AZ7" i="11" s="1"/>
  <c r="AX8" i="11"/>
  <c r="T8" i="11"/>
  <c r="AZ8" i="11" l="1"/>
  <c r="BA7" i="11"/>
  <c r="AZ6" i="11"/>
  <c r="AY8" i="11"/>
  <c r="U8" i="11"/>
  <c r="BB7" i="11" l="1"/>
  <c r="BA8" i="11"/>
  <c r="V8" i="11"/>
  <c r="BB8" i="11" l="1"/>
  <c r="BC7" i="11"/>
  <c r="W8" i="11"/>
  <c r="BC8" i="11" l="1"/>
  <c r="BD7" i="11"/>
  <c r="X8" i="11"/>
  <c r="BD8" i="11" l="1"/>
  <c r="BE7" i="11"/>
  <c r="Y8" i="11"/>
  <c r="BF7" i="11" l="1"/>
  <c r="BE8" i="11"/>
  <c r="Z8" i="11"/>
  <c r="BF8" i="11" l="1"/>
  <c r="BG7" i="11"/>
  <c r="AA8" i="11"/>
  <c r="BG8" i="11" l="1"/>
  <c r="BH7" i="11"/>
  <c r="BG6" i="11"/>
  <c r="AB8" i="11"/>
  <c r="BH8" i="11" l="1"/>
  <c r="BI7" i="11"/>
  <c r="AC8" i="11"/>
  <c r="BJ7" i="11" l="1"/>
  <c r="BI8" i="11"/>
  <c r="AD8" i="11"/>
  <c r="BK7" i="11" l="1"/>
  <c r="BJ8" i="11"/>
  <c r="AE8" i="11"/>
  <c r="BL7" i="11" l="1"/>
  <c r="BK8" i="11"/>
  <c r="AF8" i="11"/>
  <c r="BM7" i="11" l="1"/>
  <c r="BN7" i="11" s="1"/>
  <c r="BL8" i="11"/>
  <c r="AG8" i="11"/>
  <c r="BO7" i="11" l="1"/>
  <c r="BN8" i="11"/>
  <c r="BN6" i="11"/>
  <c r="BM8" i="11"/>
  <c r="AH8" i="11"/>
  <c r="BP7" i="11" l="1"/>
  <c r="BO8" i="11"/>
  <c r="AI8" i="11"/>
  <c r="BQ7" i="11" l="1"/>
  <c r="BP8" i="11"/>
  <c r="AJ8" i="11"/>
  <c r="BR7" i="11" l="1"/>
  <c r="BQ8" i="11"/>
  <c r="AK8" i="11"/>
  <c r="BS7" i="11" l="1"/>
  <c r="BR8" i="11"/>
  <c r="AL8" i="11"/>
  <c r="BS8" i="11" l="1"/>
  <c r="BT7" i="11"/>
  <c r="AM8" i="11"/>
  <c r="BT8" i="11" l="1"/>
  <c r="BU7" i="11"/>
  <c r="AN8" i="11"/>
  <c r="BU8" i="11" l="1"/>
  <c r="BU6" i="11"/>
  <c r="BV7" i="11"/>
  <c r="AO8" i="11"/>
  <c r="BV8" i="11" l="1"/>
  <c r="BW7" i="11"/>
  <c r="AP8" i="11"/>
  <c r="BX7" i="11" l="1"/>
  <c r="BW8" i="11"/>
  <c r="AQ8" i="11"/>
  <c r="BY7" i="11" l="1"/>
  <c r="BX8" i="11"/>
  <c r="AR8" i="11"/>
  <c r="BZ7" i="11" l="1"/>
  <c r="BY8" i="11"/>
  <c r="AS8" i="11"/>
  <c r="CA7" i="11" l="1"/>
  <c r="BZ8" i="11"/>
  <c r="CA8" i="11" l="1"/>
  <c r="CB7" i="11"/>
  <c r="CC7" i="11" l="1"/>
  <c r="CB8" i="11"/>
  <c r="CB6" i="11"/>
  <c r="CD7" i="11" l="1"/>
  <c r="CC8" i="11"/>
  <c r="CD8" i="11" l="1"/>
  <c r="CE7" i="11"/>
  <c r="CF7" i="11" l="1"/>
  <c r="CE8" i="11"/>
  <c r="CF8" i="11" l="1"/>
  <c r="CG7" i="11"/>
  <c r="CG8" i="11" l="1"/>
  <c r="CH7" i="11"/>
  <c r="CH8" i="11" l="1"/>
  <c r="CI7" i="11"/>
  <c r="CJ7" i="11" l="1"/>
  <c r="CI8" i="11"/>
  <c r="CI6" i="11"/>
  <c r="CK7" i="11" l="1"/>
  <c r="CJ8" i="11"/>
  <c r="CL7" i="11" l="1"/>
  <c r="CK8" i="11"/>
  <c r="CL8" i="11" l="1"/>
  <c r="CM7" i="11"/>
  <c r="CM8" i="11" l="1"/>
  <c r="CN7" i="11"/>
  <c r="CN8" i="11" l="1"/>
  <c r="CO7" i="11"/>
  <c r="CO8" i="11" l="1"/>
  <c r="CP7" i="11"/>
  <c r="CP8" i="11" l="1"/>
  <c r="CP6" i="11"/>
  <c r="CQ7" i="11"/>
  <c r="CR7" i="11" l="1"/>
  <c r="CQ8" i="11"/>
  <c r="CS7" i="11" l="1"/>
  <c r="CR8" i="11"/>
  <c r="CT7" i="11" l="1"/>
  <c r="CS8" i="11"/>
  <c r="CU7" i="11" l="1"/>
  <c r="CT8" i="11"/>
  <c r="CV7" i="11" l="1"/>
  <c r="CU8" i="11"/>
  <c r="CW7" i="11" l="1"/>
  <c r="CV8" i="11"/>
  <c r="CW6" i="11" l="1"/>
  <c r="CX7" i="11"/>
  <c r="CW8" i="11"/>
  <c r="CX8" i="11" l="1"/>
  <c r="CY7" i="11"/>
  <c r="CZ7" i="11" l="1"/>
  <c r="CY8" i="11"/>
  <c r="DA7" i="11" l="1"/>
  <c r="CZ8" i="11"/>
  <c r="DA8" i="11" l="1"/>
  <c r="DB7" i="11"/>
  <c r="DC7" i="11" l="1"/>
  <c r="DB8" i="11"/>
  <c r="DC8" i="11" l="1"/>
  <c r="DD7" i="11"/>
  <c r="DD8" i="11" l="1"/>
  <c r="DD6" i="11"/>
  <c r="DE7" i="11"/>
  <c r="DF7" i="11" l="1"/>
  <c r="DE8" i="11"/>
  <c r="DG7" i="11" l="1"/>
  <c r="DF8" i="11"/>
  <c r="DH7" i="11" l="1"/>
  <c r="DG8" i="11"/>
  <c r="DH8" i="11" l="1"/>
  <c r="DI7" i="11"/>
  <c r="DI8" i="11" l="1"/>
  <c r="DJ7" i="11"/>
  <c r="DJ8" i="11" l="1"/>
  <c r="DK7" i="11"/>
  <c r="DK6" i="11" l="1"/>
  <c r="DK8" i="11"/>
  <c r="DL7" i="11"/>
  <c r="DM7" i="11" l="1"/>
  <c r="DL8" i="11"/>
  <c r="DN7" i="11" l="1"/>
  <c r="DM8" i="11"/>
  <c r="DO7" i="11" l="1"/>
  <c r="DN8" i="11"/>
  <c r="DP7" i="11" l="1"/>
  <c r="DO8" i="11"/>
  <c r="DP8" i="11" l="1"/>
  <c r="DQ7" i="11"/>
  <c r="DQ8" i="11" l="1"/>
  <c r="DR7" i="11"/>
  <c r="DS7" i="11" l="1"/>
  <c r="DR8" i="11"/>
  <c r="DR6" i="11"/>
  <c r="DS8" i="11" l="1"/>
  <c r="DT7" i="11"/>
  <c r="DU7" i="11" l="1"/>
  <c r="DT8" i="11"/>
  <c r="DU8" i="11" l="1"/>
  <c r="DV7" i="11"/>
  <c r="DV8" i="11" l="1"/>
  <c r="DW7" i="11"/>
  <c r="DX7" i="11" l="1"/>
  <c r="DW8" i="11"/>
  <c r="DX8" i="11" l="1"/>
  <c r="DY7" i="11"/>
  <c r="DZ7" i="11" l="1"/>
  <c r="DY8" i="11"/>
  <c r="DY6" i="11"/>
  <c r="EA7" i="11" l="1"/>
  <c r="DZ8" i="11"/>
  <c r="EB7" i="11" l="1"/>
  <c r="EA8" i="11"/>
  <c r="EC7" i="11" l="1"/>
  <c r="EB8" i="11"/>
  <c r="ED7" i="11" l="1"/>
  <c r="EC8" i="11"/>
  <c r="ED8" i="11" l="1"/>
  <c r="EE7" i="11"/>
  <c r="EE8" i="11" l="1"/>
  <c r="EF7" i="11"/>
  <c r="EF8" i="11" l="1"/>
  <c r="EF6" i="11"/>
  <c r="EG7" i="11"/>
  <c r="EG8" i="11" l="1"/>
  <c r="EH7" i="11"/>
  <c r="EI7" i="11" l="1"/>
  <c r="EH8" i="11"/>
  <c r="EJ7" i="11" l="1"/>
  <c r="EI8" i="11"/>
  <c r="EK7" i="11" l="1"/>
  <c r="EJ8" i="11"/>
  <c r="EL7" i="11" l="1"/>
  <c r="EK8" i="11"/>
  <c r="EM7" i="11" l="1"/>
  <c r="EL8" i="11"/>
  <c r="EN7" i="11" l="1"/>
  <c r="EM8" i="11"/>
  <c r="EM6" i="11"/>
  <c r="EN8" i="11" l="1"/>
  <c r="EO7" i="11"/>
  <c r="EO8" i="11" l="1"/>
  <c r="EP7" i="11"/>
  <c r="EP8" i="11" l="1"/>
  <c r="EQ7" i="11"/>
  <c r="ER7" i="11" l="1"/>
  <c r="EQ8" i="11"/>
  <c r="ER8" i="11" l="1"/>
  <c r="ES7" i="11"/>
  <c r="ES8" i="11" l="1"/>
  <c r="ET7" i="11"/>
  <c r="ET8" i="11" l="1"/>
  <c r="ET6" i="11"/>
  <c r="EU7" i="11"/>
  <c r="EV7" i="11" l="1"/>
  <c r="EU8" i="11"/>
  <c r="EW7" i="11" l="1"/>
  <c r="EV8" i="11"/>
  <c r="EX7" i="11" l="1"/>
  <c r="EW8" i="11"/>
  <c r="EY7" i="11" l="1"/>
  <c r="EX8" i="11"/>
  <c r="EY8" i="11" l="1"/>
  <c r="EZ7" i="11"/>
  <c r="EZ8" i="11" l="1"/>
  <c r="FA7" i="11"/>
  <c r="FA6" i="11" l="1"/>
  <c r="FB7" i="11"/>
  <c r="FA8" i="11"/>
  <c r="FC7" i="11" l="1"/>
  <c r="FB8" i="11"/>
  <c r="FD7" i="11" l="1"/>
  <c r="FC8" i="11"/>
  <c r="FE7" i="11" l="1"/>
  <c r="FD8" i="11"/>
  <c r="FE8" i="11" l="1"/>
  <c r="FF7" i="11"/>
  <c r="FF8" i="11" l="1"/>
  <c r="FG7" i="11"/>
  <c r="FH7" i="11" l="1"/>
  <c r="FG8" i="11"/>
  <c r="FI7" i="11" l="1"/>
  <c r="FH8" i="11"/>
  <c r="FH6" i="11"/>
  <c r="FJ7" i="11" l="1"/>
  <c r="FI8" i="11"/>
  <c r="FK7" i="11" l="1"/>
  <c r="FJ8" i="11"/>
  <c r="FK8" i="11" l="1"/>
  <c r="FL7" i="11"/>
  <c r="FL8" i="11" l="1"/>
  <c r="FM7" i="11"/>
  <c r="FN7" i="11" l="1"/>
  <c r="FM8" i="11"/>
  <c r="FN8" i="11" l="1"/>
  <c r="FO7" i="11"/>
  <c r="FP7" i="11" l="1"/>
  <c r="FO8" i="11"/>
  <c r="FO6" i="11"/>
  <c r="FQ7" i="11" l="1"/>
  <c r="FP8" i="11"/>
  <c r="FR7" i="11" l="1"/>
  <c r="FQ8" i="11"/>
  <c r="FS7" i="11" l="1"/>
  <c r="FR8" i="11"/>
  <c r="FT7" i="11" l="1"/>
  <c r="FS8" i="11"/>
  <c r="FT8" i="11" l="1"/>
  <c r="FU7" i="11"/>
  <c r="FU8" i="11" l="1"/>
  <c r="FV7" i="11"/>
  <c r="FV8" i="11" l="1"/>
  <c r="FV6" i="11"/>
  <c r="FW7" i="11"/>
  <c r="FW8" i="11" l="1"/>
  <c r="FX7" i="11"/>
  <c r="FY7" i="11" l="1"/>
  <c r="FX8" i="11"/>
  <c r="FZ7" i="11" l="1"/>
  <c r="FY8" i="11"/>
  <c r="GA7" i="11" l="1"/>
  <c r="FZ8" i="11"/>
  <c r="GB7" i="11" l="1"/>
  <c r="GA8" i="11"/>
  <c r="GC7" i="11" l="1"/>
  <c r="GB8" i="11"/>
  <c r="GD7" i="11" l="1"/>
  <c r="GC8" i="11"/>
  <c r="GC6" i="11"/>
  <c r="GE7" i="11" l="1"/>
  <c r="GD8" i="11"/>
  <c r="GF7" i="11" l="1"/>
  <c r="GE8" i="11"/>
  <c r="GF8" i="11" l="1"/>
  <c r="GG7" i="11"/>
  <c r="GG8" i="11" l="1"/>
  <c r="GH7" i="11"/>
  <c r="GH8" i="11" l="1"/>
  <c r="GI7" i="11"/>
  <c r="GI8" i="11" s="1"/>
</calcChain>
</file>

<file path=xl/sharedStrings.xml><?xml version="1.0" encoding="utf-8"?>
<sst xmlns="http://schemas.openxmlformats.org/spreadsheetml/2006/main" count="108" uniqueCount="82">
  <si>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</si>
  <si>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</si>
  <si>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</si>
  <si>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</si>
  <si>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</si>
  <si>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</si>
  <si>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</si>
  <si>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</si>
  <si>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</si>
  <si>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</si>
  <si>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</si>
  <si>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</si>
  <si>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</si>
  <si>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</si>
  <si>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</si>
  <si>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</si>
  <si>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</si>
  <si>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</si>
  <si>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</si>
  <si>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</si>
  <si>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</si>
  <si>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</si>
  <si>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</si>
  <si>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</si>
  <si>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</si>
  <si>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</si>
  <si>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</si>
  <si>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</si>
  <si>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</si>
  <si>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</si>
  <si>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</si>
  <si>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</si>
  <si>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</si>
  <si>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</si>
  <si>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</si>
  <si>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</si>
  <si>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</si>
  <si>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Notes</t>
  </si>
  <si>
    <t>Same Day Access Innovator  - Programme Plan</t>
  </si>
  <si>
    <t>Rural South &amp; East</t>
  </si>
  <si>
    <t>Discovery &amp; Set-Up</t>
  </si>
  <si>
    <t>Establish governance</t>
  </si>
  <si>
    <t xml:space="preserve">Terms of Reference </t>
  </si>
  <si>
    <t>Set baseline measure</t>
  </si>
  <si>
    <t>Set Virtual + Face-to-face recurring PB meeting</t>
  </si>
  <si>
    <t>Establish Programme Board (PB)</t>
  </si>
  <si>
    <t>Estates  Feasibility Analysis</t>
  </si>
  <si>
    <t>Digital Feasibility Analysis</t>
  </si>
  <si>
    <t>Review &amp; Approval from Programme Board</t>
  </si>
  <si>
    <t>Create SDA Estates &amp; Digital Solution Report</t>
  </si>
  <si>
    <t>Create Appoinment &amp; Delivery Model</t>
  </si>
  <si>
    <t>Job description Finalization</t>
  </si>
  <si>
    <t>Personal Specification Creation</t>
  </si>
  <si>
    <t xml:space="preserve">Geography analysis </t>
  </si>
  <si>
    <t>Salary Finalization</t>
  </si>
  <si>
    <t>Recruitment Agent (PML/Practice level)</t>
  </si>
  <si>
    <t>HR Processes &amp; On-boarding</t>
  </si>
  <si>
    <t>1. Estates &amp; Digital</t>
  </si>
  <si>
    <t xml:space="preserve">2. Appoinments </t>
  </si>
  <si>
    <t xml:space="preserve">3. Recruitment </t>
  </si>
  <si>
    <t>Create plan for £30,000 Expenditure until 1st April 2026.</t>
  </si>
  <si>
    <t>Create Phase approach plan for £2.34 millions expenditure post 1st April 2026.</t>
  </si>
  <si>
    <t xml:space="preserve">4. Financial Governance </t>
  </si>
  <si>
    <t>Maureen Green</t>
  </si>
  <si>
    <t xml:space="preserve">Maureen Green </t>
  </si>
  <si>
    <t>Programme Board</t>
  </si>
  <si>
    <t>Malcom Railson</t>
  </si>
  <si>
    <t>Simon Ellis / Mark Gray</t>
  </si>
  <si>
    <t>Simon Ellis / Muhammad Chishti</t>
  </si>
  <si>
    <t xml:space="preserve">Creating Relationships </t>
  </si>
  <si>
    <t>Mark Gray</t>
  </si>
  <si>
    <t xml:space="preserve">Creation of Risk Register with high level programme risk. </t>
  </si>
  <si>
    <t>Updating Existing Risk Register</t>
  </si>
  <si>
    <t>5. Discussions on Contract Variation Updates</t>
  </si>
  <si>
    <t>6. Risk Governance</t>
  </si>
  <si>
    <t>7. Communication</t>
  </si>
  <si>
    <t xml:space="preserve">Creation of communication strategies </t>
  </si>
  <si>
    <t>Approval &amp; Feedback</t>
  </si>
  <si>
    <t>Agree the strands of communication</t>
  </si>
  <si>
    <t xml:space="preserve">Implementation of the communincation strategies </t>
  </si>
  <si>
    <t>8. Innovation</t>
  </si>
  <si>
    <t>Key components (Gather data &amp; Create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</si>
</sst>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2"/>
      <color theme="1"/>
      <name val="Calibri"/>
      <family val="2"/>
      <scheme val="minor"/>
    </font>
    <font>
      <b/>
      <sz val="26"/>
      <color theme="1" tint="0.34998626667073579"/>
      <name val="Calibri"/>
      <family val="2"/>
      <scheme val="major"/>
    </font>
    <font>
      <b/>
      <sz val="20"/>
      <color theme="1"/>
      <name val="Calibri"/>
      <family val="2"/>
      <scheme val="minor"/>
    </font>
  </fonts>
  <fills count="46">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9" tint="0.39997558519241921"/>
        <bgColor indexed="64"/>
      </patternFill>
    </fill>
    <fill>
      <patternFill patternType="solid">
        <fgColor theme="9" tint="0.79998168889431442"/>
        <bgColor indexed="64"/>
      </patternFill>
    </fill>
  </fills>
  <borders count="3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4">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7" fillId="0" borderId="0"/>
    <xf numFmtId="165" fontId="6" fillId="0" borderId="3" applyFont="0" applyFill="0" applyAlignment="0" applyProtection="0"/>
    <xf numFmtId="0" fontId="10"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6" fontId="6" fillId="0" borderId="3">
      <alignment horizontal="center" vertical="center"/>
    </xf>
    <xf numFmtId="167" fontId="6" fillId="0" borderId="2" applyFill="0">
      <alignment horizontal="center" vertical="center"/>
    </xf>
    <xf numFmtId="0" fontId="6" fillId="0" borderId="2" applyFill="0">
      <alignment horizontal="center" vertical="center"/>
    </xf>
    <xf numFmtId="0" fontId="6" fillId="0" borderId="2" applyFill="0">
      <alignment horizontal="left" vertical="center" indent="2"/>
    </xf>
    <xf numFmtId="0" fontId="20" fillId="0" borderId="0" applyNumberFormat="0" applyFill="0" applyBorder="0" applyAlignment="0" applyProtection="0"/>
    <xf numFmtId="164"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0" fontId="21" fillId="0" borderId="0" applyNumberFormat="0" applyFill="0" applyBorder="0" applyAlignment="0" applyProtection="0"/>
    <xf numFmtId="0" fontId="22"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5" fillId="15" borderId="11" applyNumberFormat="0" applyAlignment="0" applyProtection="0"/>
    <xf numFmtId="0" fontId="26" fillId="16" borderId="12" applyNumberFormat="0" applyAlignment="0" applyProtection="0"/>
    <xf numFmtId="0" fontId="27" fillId="16" borderId="11" applyNumberFormat="0" applyAlignment="0" applyProtection="0"/>
    <xf numFmtId="0" fontId="28" fillId="0" borderId="13" applyNumberFormat="0" applyFill="0" applyAlignment="0" applyProtection="0"/>
    <xf numFmtId="0" fontId="29" fillId="17" borderId="14" applyNumberFormat="0" applyAlignment="0" applyProtection="0"/>
    <xf numFmtId="0" fontId="30" fillId="0" borderId="0" applyNumberFormat="0" applyFill="0" applyBorder="0" applyAlignment="0" applyProtection="0"/>
    <xf numFmtId="0" fontId="6" fillId="18" borderId="15" applyNumberFormat="0" applyFont="0" applyAlignment="0" applyProtection="0"/>
    <xf numFmtId="0" fontId="31" fillId="0" borderId="0" applyNumberFormat="0" applyFill="0" applyBorder="0" applyAlignment="0" applyProtection="0"/>
    <xf numFmtId="0" fontId="4" fillId="0" borderId="16" applyNumberFormat="0" applyFill="0" applyAlignment="0" applyProtection="0"/>
    <xf numFmtId="0" fontId="1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1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1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1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17"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17"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cellStyleXfs>
  <cellXfs count="102">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5" fillId="11" borderId="1" xfId="0" applyFont="1" applyFill="1" applyBorder="1" applyAlignment="1">
      <alignment horizontal="left" vertical="center" indent="1"/>
    </xf>
    <xf numFmtId="0" fontId="5" fillId="11" borderId="1" xfId="0" applyFont="1" applyFill="1" applyBorder="1" applyAlignment="1">
      <alignment horizontal="center" vertical="center" wrapText="1"/>
    </xf>
    <xf numFmtId="0" fontId="9" fillId="10" borderId="8" xfId="0" applyFont="1" applyFill="1" applyBorder="1" applyAlignment="1">
      <alignment horizontal="center" vertical="center" shrinkToFit="1"/>
    </xf>
    <xf numFmtId="0" fontId="3" fillId="0" borderId="2" xfId="0" applyFont="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1" fillId="0" borderId="0" xfId="0" applyFont="1" applyAlignment="1">
      <alignment horizontal="center" vertical="center"/>
    </xf>
    <xf numFmtId="0" fontId="1" fillId="0" borderId="0" xfId="0" applyFont="1" applyAlignment="1">
      <alignment vertical="top"/>
    </xf>
    <xf numFmtId="0" fontId="11" fillId="0" borderId="0" xfId="0" applyFont="1" applyAlignment="1">
      <alignment horizontal="left" vertical="center"/>
    </xf>
    <xf numFmtId="0" fontId="12" fillId="0" borderId="0" xfId="0" applyFont="1" applyAlignment="1">
      <alignment horizontal="left" vertical="center"/>
    </xf>
    <xf numFmtId="0" fontId="14" fillId="0" borderId="0" xfId="0" applyFont="1"/>
    <xf numFmtId="0" fontId="16" fillId="0" borderId="0" xfId="0" applyFont="1" applyAlignment="1">
      <alignment vertical="center"/>
    </xf>
    <xf numFmtId="0" fontId="15" fillId="0" borderId="0" xfId="0" applyFont="1" applyAlignment="1">
      <alignment horizontal="left" vertical="top" wrapText="1" indent="1"/>
    </xf>
    <xf numFmtId="0" fontId="1" fillId="0" borderId="0" xfId="0" applyFont="1" applyAlignment="1">
      <alignment horizontal="left" vertical="top"/>
    </xf>
    <xf numFmtId="0" fontId="13"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7" fillId="0" borderId="0" xfId="3"/>
    <xf numFmtId="0" fontId="17" fillId="0" borderId="0" xfId="3" applyAlignment="1">
      <alignment wrapText="1"/>
    </xf>
    <xf numFmtId="0" fontId="0" fillId="0" borderId="0" xfId="0" applyAlignment="1">
      <alignment wrapText="1"/>
    </xf>
    <xf numFmtId="0" fontId="0" fillId="0" borderId="10" xfId="0" applyBorder="1"/>
    <xf numFmtId="0" fontId="18" fillId="0" borderId="0" xfId="0" applyFont="1"/>
    <xf numFmtId="0" fontId="19" fillId="0" borderId="0" xfId="1" applyFont="1" applyProtection="1">
      <alignment vertical="top"/>
    </xf>
    <xf numFmtId="0" fontId="3" fillId="0" borderId="0" xfId="0" applyFont="1" applyAlignment="1">
      <alignment vertical="top"/>
    </xf>
    <xf numFmtId="168" fontId="8" fillId="5" borderId="6" xfId="0" applyNumberFormat="1" applyFont="1" applyFill="1" applyBorder="1" applyAlignment="1">
      <alignment horizontal="center" vertical="center"/>
    </xf>
    <xf numFmtId="168" fontId="8" fillId="5" borderId="0" xfId="0" applyNumberFormat="1" applyFont="1" applyFill="1" applyAlignment="1">
      <alignment horizontal="center" vertical="center"/>
    </xf>
    <xf numFmtId="168" fontId="8" fillId="5" borderId="7" xfId="0" applyNumberFormat="1" applyFont="1" applyFill="1" applyBorder="1" applyAlignment="1">
      <alignment horizontal="center" vertical="center"/>
    </xf>
    <xf numFmtId="0" fontId="6" fillId="0" borderId="0" xfId="8" applyAlignment="1"/>
    <xf numFmtId="166" fontId="6" fillId="0" borderId="3" xfId="9">
      <alignment horizontal="center" vertical="center"/>
    </xf>
    <xf numFmtId="0" fontId="4" fillId="6" borderId="17" xfId="0" applyFont="1" applyFill="1" applyBorder="1" applyAlignment="1">
      <alignment horizontal="left" vertical="center" indent="1"/>
    </xf>
    <xf numFmtId="0" fontId="6" fillId="6" borderId="17" xfId="11" applyFill="1" applyBorder="1">
      <alignment horizontal="center" vertical="center"/>
    </xf>
    <xf numFmtId="9" fontId="3" fillId="6" borderId="17" xfId="2" applyFont="1" applyFill="1" applyBorder="1" applyAlignment="1">
      <alignment horizontal="center" vertical="center"/>
    </xf>
    <xf numFmtId="167" fontId="0" fillId="6" borderId="17" xfId="0" applyNumberFormat="1" applyFill="1" applyBorder="1" applyAlignment="1">
      <alignment horizontal="center" vertical="center"/>
    </xf>
    <xf numFmtId="167" fontId="3" fillId="6" borderId="17" xfId="0" applyNumberFormat="1" applyFont="1" applyFill="1" applyBorder="1" applyAlignment="1">
      <alignment horizontal="center" vertical="center"/>
    </xf>
    <xf numFmtId="0" fontId="6" fillId="2" borderId="17" xfId="11" applyFill="1" applyBorder="1">
      <alignment horizontal="center" vertical="center"/>
    </xf>
    <xf numFmtId="9" fontId="3" fillId="2" borderId="17" xfId="2" applyFont="1" applyFill="1" applyBorder="1" applyAlignment="1">
      <alignment horizontal="center" vertical="center"/>
    </xf>
    <xf numFmtId="167" fontId="6" fillId="2" borderId="17" xfId="10" applyFill="1" applyBorder="1">
      <alignment horizontal="center" vertical="center"/>
    </xf>
    <xf numFmtId="167" fontId="0" fillId="2" borderId="17" xfId="10" applyFont="1" applyFill="1" applyBorder="1" applyAlignment="1">
      <alignment horizontal="center" vertical="center" wrapText="1"/>
    </xf>
    <xf numFmtId="167" fontId="6" fillId="2" borderId="17" xfId="10" applyFill="1" applyBorder="1" applyAlignment="1">
      <alignment horizontal="center" vertical="center" wrapText="1"/>
    </xf>
    <xf numFmtId="0" fontId="6" fillId="9" borderId="17" xfId="11" applyFill="1" applyBorder="1">
      <alignment horizontal="center" vertical="center"/>
    </xf>
    <xf numFmtId="9" fontId="3" fillId="9" borderId="17" xfId="2" applyFont="1" applyFill="1" applyBorder="1" applyAlignment="1">
      <alignment horizontal="center" vertical="center"/>
    </xf>
    <xf numFmtId="167" fontId="6" fillId="9" borderId="17" xfId="10" applyFill="1" applyBorder="1">
      <alignment horizontal="center" vertical="center"/>
    </xf>
    <xf numFmtId="167" fontId="6" fillId="9" borderId="17" xfId="10" applyFill="1" applyBorder="1" applyAlignment="1">
      <alignment horizontal="center" vertical="center" wrapText="1"/>
    </xf>
    <xf numFmtId="0" fontId="6" fillId="8" borderId="17" xfId="11" applyFill="1" applyBorder="1">
      <alignment horizontal="center" vertical="center"/>
    </xf>
    <xf numFmtId="9" fontId="3" fillId="8" borderId="17" xfId="2" applyFont="1" applyFill="1" applyBorder="1" applyAlignment="1">
      <alignment horizontal="center" vertical="center"/>
    </xf>
    <xf numFmtId="167" fontId="6" fillId="8" borderId="17" xfId="10" applyFill="1" applyBorder="1">
      <alignment horizontal="center" vertical="center"/>
    </xf>
    <xf numFmtId="0" fontId="6" fillId="45" borderId="17" xfId="12" applyFill="1" applyBorder="1">
      <alignment horizontal="left" vertical="center" indent="2"/>
    </xf>
    <xf numFmtId="0" fontId="6" fillId="45" borderId="17" xfId="11" applyFill="1" applyBorder="1">
      <alignment horizontal="center" vertical="center"/>
    </xf>
    <xf numFmtId="9" fontId="3" fillId="45" borderId="17" xfId="2" applyFont="1" applyFill="1" applyBorder="1" applyAlignment="1">
      <alignment horizontal="center" vertical="center"/>
    </xf>
    <xf numFmtId="167" fontId="6" fillId="45" borderId="17" xfId="10" applyFill="1" applyBorder="1">
      <alignment horizontal="center" vertical="center"/>
    </xf>
    <xf numFmtId="167" fontId="6" fillId="45" borderId="17" xfId="10" applyFill="1" applyBorder="1" applyAlignment="1">
      <alignment horizontal="center" vertical="center" wrapText="1"/>
    </xf>
    <xf numFmtId="0" fontId="6" fillId="9" borderId="17" xfId="12" applyFill="1" applyBorder="1" applyAlignment="1">
      <alignment horizontal="left" vertical="center" indent="3"/>
    </xf>
    <xf numFmtId="0" fontId="6" fillId="8" borderId="17" xfId="12" applyFill="1" applyBorder="1" applyAlignment="1">
      <alignment horizontal="left" vertical="center" indent="3"/>
    </xf>
    <xf numFmtId="0" fontId="6" fillId="2" borderId="17" xfId="12" applyFill="1" applyBorder="1" applyAlignment="1">
      <alignment horizontal="left" vertical="center" indent="3"/>
    </xf>
    <xf numFmtId="0" fontId="4" fillId="7" borderId="18" xfId="0" applyFont="1" applyFill="1" applyBorder="1" applyAlignment="1">
      <alignment horizontal="left" vertical="center" indent="2"/>
    </xf>
    <xf numFmtId="0" fontId="6" fillId="7" borderId="19" xfId="11" applyFill="1" applyBorder="1">
      <alignment horizontal="center" vertical="center"/>
    </xf>
    <xf numFmtId="9" fontId="3" fillId="7" borderId="19" xfId="2" applyFont="1" applyFill="1" applyBorder="1" applyAlignment="1">
      <alignment horizontal="center" vertical="center"/>
    </xf>
    <xf numFmtId="167" fontId="0" fillId="7" borderId="19" xfId="0" applyNumberFormat="1" applyFill="1" applyBorder="1" applyAlignment="1">
      <alignment horizontal="center" vertical="center"/>
    </xf>
    <xf numFmtId="167" fontId="3" fillId="7" borderId="19" xfId="0" applyNumberFormat="1" applyFont="1" applyFill="1" applyBorder="1" applyAlignment="1">
      <alignment horizontal="center" vertical="center"/>
    </xf>
    <xf numFmtId="167" fontId="3" fillId="7" borderId="20" xfId="0" applyNumberFormat="1" applyFont="1" applyFill="1" applyBorder="1" applyAlignment="1">
      <alignment horizontal="center" vertical="center"/>
    </xf>
    <xf numFmtId="0" fontId="4" fillId="4" borderId="18" xfId="0" applyFont="1" applyFill="1" applyBorder="1" applyAlignment="1">
      <alignment horizontal="left" vertical="center" indent="2"/>
    </xf>
    <xf numFmtId="0" fontId="6" fillId="4" borderId="19" xfId="11" applyFill="1" applyBorder="1">
      <alignment horizontal="center" vertical="center"/>
    </xf>
    <xf numFmtId="9" fontId="3" fillId="4" borderId="19" xfId="2" applyFont="1" applyFill="1" applyBorder="1" applyAlignment="1">
      <alignment horizontal="center" vertical="center"/>
    </xf>
    <xf numFmtId="167" fontId="0" fillId="4" borderId="19" xfId="0" applyNumberFormat="1" applyFill="1" applyBorder="1" applyAlignment="1">
      <alignment horizontal="center" vertical="center"/>
    </xf>
    <xf numFmtId="167" fontId="3" fillId="4" borderId="19" xfId="0" applyNumberFormat="1" applyFont="1" applyFill="1" applyBorder="1" applyAlignment="1">
      <alignment horizontal="center" vertical="center"/>
    </xf>
    <xf numFmtId="167" fontId="3" fillId="4" borderId="20" xfId="0" applyNumberFormat="1" applyFont="1" applyFill="1" applyBorder="1" applyAlignment="1">
      <alignment horizontal="center" vertical="center"/>
    </xf>
    <xf numFmtId="0" fontId="4" fillId="43" borderId="18" xfId="12" applyFont="1" applyFill="1" applyBorder="1">
      <alignment horizontal="left" vertical="center" indent="2"/>
    </xf>
    <xf numFmtId="0" fontId="4" fillId="43" borderId="19" xfId="11" applyFont="1" applyFill="1" applyBorder="1">
      <alignment horizontal="center" vertical="center"/>
    </xf>
    <xf numFmtId="9" fontId="18" fillId="43" borderId="19" xfId="2" applyFont="1" applyFill="1" applyBorder="1" applyAlignment="1">
      <alignment horizontal="center" vertical="center"/>
    </xf>
    <xf numFmtId="167" fontId="4" fillId="43" borderId="19" xfId="10" applyFont="1" applyFill="1" applyBorder="1">
      <alignment horizontal="center" vertical="center"/>
    </xf>
    <xf numFmtId="167" fontId="4" fillId="43" borderId="20" xfId="10" applyFont="1" applyFill="1" applyBorder="1">
      <alignment horizontal="center" vertical="center"/>
    </xf>
    <xf numFmtId="0" fontId="4" fillId="44" borderId="18" xfId="12" applyFont="1" applyFill="1" applyBorder="1">
      <alignment horizontal="left" vertical="center" indent="2"/>
    </xf>
    <xf numFmtId="0" fontId="4" fillId="44" borderId="19" xfId="11" applyFont="1" applyFill="1" applyBorder="1">
      <alignment horizontal="center" vertical="center"/>
    </xf>
    <xf numFmtId="9" fontId="18" fillId="44" borderId="19" xfId="2" applyFont="1" applyFill="1" applyBorder="1" applyAlignment="1">
      <alignment horizontal="center" vertical="center"/>
    </xf>
    <xf numFmtId="167" fontId="4" fillId="44" borderId="19" xfId="10" applyFont="1" applyFill="1" applyBorder="1">
      <alignment horizontal="center" vertical="center"/>
    </xf>
    <xf numFmtId="167" fontId="4" fillId="44" borderId="20" xfId="10" applyFont="1" applyFill="1" applyBorder="1">
      <alignment horizontal="center" vertical="center"/>
    </xf>
    <xf numFmtId="0" fontId="4" fillId="7" borderId="18" xfId="0" applyFont="1" applyFill="1" applyBorder="1" applyAlignment="1">
      <alignment horizontal="left" vertical="center" indent="1"/>
    </xf>
    <xf numFmtId="0" fontId="4" fillId="3" borderId="18" xfId="12" applyFont="1" applyFill="1" applyBorder="1">
      <alignment horizontal="left" vertical="center" indent="2"/>
    </xf>
    <xf numFmtId="0" fontId="4" fillId="3" borderId="19" xfId="11" applyFont="1" applyFill="1" applyBorder="1">
      <alignment horizontal="center" vertical="center"/>
    </xf>
    <xf numFmtId="9" fontId="18" fillId="3" borderId="19" xfId="2" applyFont="1" applyFill="1" applyBorder="1" applyAlignment="1">
      <alignment horizontal="center" vertical="center"/>
    </xf>
    <xf numFmtId="167" fontId="4" fillId="3" borderId="19" xfId="10" applyFont="1" applyFill="1" applyBorder="1">
      <alignment horizontal="center" vertical="center"/>
    </xf>
    <xf numFmtId="167" fontId="4" fillId="3" borderId="20" xfId="10" applyFont="1" applyFill="1" applyBorder="1">
      <alignment horizontal="center" vertical="center"/>
    </xf>
    <xf numFmtId="0" fontId="17" fillId="0" borderId="21" xfId="3" applyBorder="1"/>
    <xf numFmtId="0" fontId="17" fillId="0" borderId="22" xfId="3" applyBorder="1"/>
    <xf numFmtId="0" fontId="17" fillId="0" borderId="23" xfId="3" applyBorder="1"/>
    <xf numFmtId="0" fontId="17" fillId="0" borderId="24" xfId="3" applyBorder="1"/>
    <xf numFmtId="0" fontId="34" fillId="0" borderId="27" xfId="0" applyFont="1" applyBorder="1" applyAlignment="1">
      <alignment vertical="center"/>
    </xf>
    <xf numFmtId="0" fontId="34" fillId="0" borderId="28" xfId="0" applyFont="1" applyBorder="1" applyAlignment="1">
      <alignment vertical="center"/>
    </xf>
    <xf numFmtId="0" fontId="32" fillId="0" borderId="29" xfId="7" applyFont="1" applyBorder="1" applyAlignment="1">
      <alignment horizontal="left" vertical="center"/>
    </xf>
    <xf numFmtId="0" fontId="32" fillId="0" borderId="30" xfId="8" applyFont="1" applyBorder="1" applyAlignment="1">
      <alignment horizontal="left" vertical="center" wrapText="1"/>
    </xf>
    <xf numFmtId="169" fontId="0" fillId="5" borderId="4" xfId="0" applyNumberFormat="1" applyFill="1" applyBorder="1" applyAlignment="1">
      <alignment horizontal="left" vertical="center" wrapText="1" indent="1"/>
    </xf>
    <xf numFmtId="169" fontId="0" fillId="5" borderId="1" xfId="0" applyNumberFormat="1" applyFill="1" applyBorder="1" applyAlignment="1">
      <alignment horizontal="left" vertical="center" wrapText="1" indent="1"/>
    </xf>
    <xf numFmtId="169" fontId="0" fillId="5" borderId="5" xfId="0" applyNumberFormat="1" applyFill="1" applyBorder="1" applyAlignment="1">
      <alignment horizontal="left" vertical="center" wrapText="1" indent="1"/>
    </xf>
    <xf numFmtId="0" fontId="33" fillId="0" borderId="25" xfId="5" applyFont="1" applyBorder="1" applyAlignment="1">
      <alignment horizontal="left"/>
    </xf>
    <xf numFmtId="0" fontId="33" fillId="0" borderId="26" xfId="5" applyFont="1" applyBorder="1" applyAlignment="1">
      <alignment horizontal="left"/>
    </xf>
    <xf numFmtId="166" fontId="6" fillId="0" borderId="3" xfId="9">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 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92076</xdr:colOff>
      <xdr:row>0</xdr:row>
      <xdr:rowOff>28575</xdr:rowOff>
    </xdr:from>
    <xdr:to>
      <xdr:col>1</xdr:col>
      <xdr:colOff>1320801</xdr:colOff>
      <xdr:row>2</xdr:row>
      <xdr:rowOff>0</xdr:rowOff>
    </xdr:to>
    <xdr:pic>
      <xdr:nvPicPr>
        <xdr:cNvPr id="2" name="Image 3" descr="A logo for a company&#10;&#10;AI-generated content may be incorrect.">
          <a:extLst>
            <a:ext uri="{FF2B5EF4-FFF2-40B4-BE49-F238E27FC236}">
              <a16:creationId xmlns:a16="http://schemas.microsoft.com/office/drawing/2014/main" id="{DB62C7D2-367B-0AC5-0AD9-C03A7F23AFCE}"/>
            </a:ext>
          </a:extLst>
        </xdr:cNvPr>
        <xdr:cNvPicPr>
          <a:picLocks/>
        </xdr:cNvPicPr>
      </xdr:nvPicPr>
      <xdr:blipFill>
        <a:blip xmlns:r="http://schemas.openxmlformats.org/officeDocument/2006/relationships" r:embed="rId1" cstate="print"/>
        <a:stretch>
          <a:fillRect/>
        </a:stretch>
      </xdr:blipFill>
      <xdr:spPr>
        <a:xfrm>
          <a:off x="92076" y="28575"/>
          <a:ext cx="1422400" cy="7334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8" zoomScaleNormal="100" workbookViewId="0"/>
  </sheetViews>
  <sheetFormatPr defaultColWidth="9.1796875" defaultRowHeight="13" x14ac:dyDescent="0.3"/>
  <cols>
    <col min="1" max="1" width="87.1796875" style="13" customWidth="1"/>
    <col min="2" max="16384" width="9.1796875" style="1"/>
  </cols>
  <sheetData>
    <row r="1" spans="1:2" ht="46.5" customHeight="1" x14ac:dyDescent="0.3"/>
    <row r="2" spans="1:2" s="15" customFormat="1" ht="15.5" x14ac:dyDescent="0.35">
      <c r="A2" s="14" t="s">
        <v>22</v>
      </c>
      <c r="B2" s="14"/>
    </row>
    <row r="3" spans="1:2" s="19" customFormat="1" ht="27" customHeight="1" x14ac:dyDescent="0.35">
      <c r="A3" s="29" t="s">
        <v>23</v>
      </c>
      <c r="B3" s="20"/>
    </row>
    <row r="4" spans="1:2" s="16" customFormat="1" ht="26" x14ac:dyDescent="0.6">
      <c r="A4" s="17" t="s">
        <v>24</v>
      </c>
    </row>
    <row r="5" spans="1:2" ht="74.150000000000006" customHeight="1" x14ac:dyDescent="0.3">
      <c r="A5" s="18" t="s">
        <v>25</v>
      </c>
    </row>
    <row r="6" spans="1:2" ht="26.25" customHeight="1" x14ac:dyDescent="0.3">
      <c r="A6" s="17" t="s">
        <v>26</v>
      </c>
    </row>
    <row r="7" spans="1:2" s="13" customFormat="1" ht="205" customHeight="1" x14ac:dyDescent="0.35">
      <c r="A7" s="22" t="s">
        <v>27</v>
      </c>
    </row>
    <row r="8" spans="1:2" s="16" customFormat="1" ht="26" x14ac:dyDescent="0.6">
      <c r="A8" s="17" t="s">
        <v>28</v>
      </c>
    </row>
    <row r="9" spans="1:2" ht="58" x14ac:dyDescent="0.3">
      <c r="A9" s="18" t="s">
        <v>29</v>
      </c>
    </row>
    <row r="10" spans="1:2" s="13" customFormat="1" ht="28" customHeight="1" x14ac:dyDescent="0.35">
      <c r="A10" s="21" t="s">
        <v>30</v>
      </c>
    </row>
    <row r="11" spans="1:2" s="16" customFormat="1" ht="26" x14ac:dyDescent="0.6">
      <c r="A11" s="17" t="s">
        <v>31</v>
      </c>
    </row>
    <row r="12" spans="1:2" ht="29" x14ac:dyDescent="0.3">
      <c r="A12" s="18" t="s">
        <v>32</v>
      </c>
    </row>
    <row r="13" spans="1:2" s="13" customFormat="1" ht="28" customHeight="1" x14ac:dyDescent="0.35">
      <c r="A13" s="21" t="s">
        <v>33</v>
      </c>
    </row>
    <row r="14" spans="1:2" s="16" customFormat="1" ht="26" x14ac:dyDescent="0.6">
      <c r="A14" s="17" t="s">
        <v>34</v>
      </c>
    </row>
    <row r="15" spans="1:2" ht="75" customHeight="1" x14ac:dyDescent="0.3">
      <c r="A15" s="18" t="s">
        <v>35</v>
      </c>
    </row>
    <row r="16" spans="1:2" ht="72.5" x14ac:dyDescent="0.3">
      <c r="A16" s="18" t="s">
        <v>36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I50"/>
  <sheetViews>
    <sheetView showGridLines="0" tabSelected="1" showRuler="0" zoomScale="70" zoomScaleNormal="70" zoomScalePageLayoutView="70" workbookViewId="0">
      <pane ySplit="8" topLeftCell="A9" activePane="bottomLeft" state="frozen"/>
      <selection pane="bottomLeft" activeCell="J3" sqref="J3"/>
    </sheetView>
  </sheetViews>
  <sheetFormatPr defaultRowHeight="30" customHeight="1" x14ac:dyDescent="0.35"/>
  <cols>
    <col min="1" max="1" width="2.7265625" style="23" customWidth="1"/>
    <col min="2" max="2" width="90.7265625" customWidth="1"/>
    <col min="3" max="3" width="30.26953125" customWidth="1"/>
    <col min="4" max="4" width="12.1796875" customWidth="1"/>
    <col min="5" max="5" width="12.7265625" style="4" customWidth="1"/>
    <col min="6" max="6" width="13.90625" customWidth="1"/>
    <col min="7" max="7" width="21.36328125" customWidth="1"/>
    <col min="8" max="8" width="2.7265625" customWidth="1"/>
    <col min="9" max="9" width="6.1796875" hidden="1" customWidth="1"/>
    <col min="10" max="191" width="2.54296875" customWidth="1"/>
  </cols>
  <sheetData>
    <row r="1" spans="1:191" s="23" customFormat="1" ht="30" customHeight="1" x14ac:dyDescent="0.35">
      <c r="B1" s="88" t="s">
        <v>38</v>
      </c>
      <c r="C1" s="89"/>
    </row>
    <row r="2" spans="1:191" s="23" customFormat="1" ht="30" customHeight="1" x14ac:dyDescent="0.35">
      <c r="B2" s="90"/>
      <c r="C2" s="91"/>
    </row>
    <row r="3" spans="1:191" ht="30" customHeight="1" x14ac:dyDescent="0.75">
      <c r="A3" s="24" t="s">
        <v>0</v>
      </c>
      <c r="B3" s="99" t="s">
        <v>38</v>
      </c>
      <c r="C3" s="100"/>
      <c r="D3" s="1"/>
      <c r="E3" s="3"/>
      <c r="F3" s="12"/>
      <c r="G3" s="12"/>
      <c r="I3" s="1"/>
      <c r="J3" s="27"/>
    </row>
    <row r="4" spans="1:191" ht="30" customHeight="1" x14ac:dyDescent="0.35">
      <c r="A4" s="23" t="s">
        <v>1</v>
      </c>
      <c r="B4" s="92" t="s">
        <v>39</v>
      </c>
      <c r="C4" s="93"/>
      <c r="J4" s="28"/>
    </row>
    <row r="5" spans="1:191" ht="30" customHeight="1" thickBot="1" x14ac:dyDescent="0.4">
      <c r="A5" s="23" t="s">
        <v>2</v>
      </c>
      <c r="B5" s="94"/>
      <c r="C5" s="95"/>
      <c r="D5" s="33" t="s">
        <v>3</v>
      </c>
      <c r="E5" s="101">
        <v>45964</v>
      </c>
      <c r="F5" s="101"/>
      <c r="G5" s="34"/>
    </row>
    <row r="6" spans="1:191" ht="33" customHeight="1" x14ac:dyDescent="0.35">
      <c r="A6" s="24" t="s">
        <v>4</v>
      </c>
      <c r="C6" s="33"/>
      <c r="D6" s="33" t="s">
        <v>5</v>
      </c>
      <c r="E6" s="5">
        <v>1</v>
      </c>
      <c r="J6" s="96">
        <f>J7</f>
        <v>45964</v>
      </c>
      <c r="K6" s="97"/>
      <c r="L6" s="97"/>
      <c r="M6" s="97"/>
      <c r="N6" s="97"/>
      <c r="O6" s="97"/>
      <c r="P6" s="98"/>
      <c r="Q6" s="96">
        <f>Q7</f>
        <v>45971</v>
      </c>
      <c r="R6" s="97"/>
      <c r="S6" s="97"/>
      <c r="T6" s="97"/>
      <c r="U6" s="97"/>
      <c r="V6" s="97"/>
      <c r="W6" s="98"/>
      <c r="X6" s="96">
        <f>X7</f>
        <v>45978</v>
      </c>
      <c r="Y6" s="97"/>
      <c r="Z6" s="97"/>
      <c r="AA6" s="97"/>
      <c r="AB6" s="97"/>
      <c r="AC6" s="97"/>
      <c r="AD6" s="98"/>
      <c r="AE6" s="96">
        <f>AE7</f>
        <v>45985</v>
      </c>
      <c r="AF6" s="97"/>
      <c r="AG6" s="97"/>
      <c r="AH6" s="97"/>
      <c r="AI6" s="97"/>
      <c r="AJ6" s="97"/>
      <c r="AK6" s="98"/>
      <c r="AL6" s="96">
        <f>AL7</f>
        <v>45992</v>
      </c>
      <c r="AM6" s="97"/>
      <c r="AN6" s="97"/>
      <c r="AO6" s="97"/>
      <c r="AP6" s="97"/>
      <c r="AQ6" s="97"/>
      <c r="AR6" s="98"/>
      <c r="AS6" s="96">
        <f>AS7</f>
        <v>45999</v>
      </c>
      <c r="AT6" s="97"/>
      <c r="AU6" s="97"/>
      <c r="AV6" s="97"/>
      <c r="AW6" s="97"/>
      <c r="AX6" s="97"/>
      <c r="AY6" s="98"/>
      <c r="AZ6" s="96">
        <f>AZ7</f>
        <v>46006</v>
      </c>
      <c r="BA6" s="97"/>
      <c r="BB6" s="97"/>
      <c r="BC6" s="97"/>
      <c r="BD6" s="97"/>
      <c r="BE6" s="97"/>
      <c r="BF6" s="98"/>
      <c r="BG6" s="96">
        <f>BG7</f>
        <v>46013</v>
      </c>
      <c r="BH6" s="97"/>
      <c r="BI6" s="97"/>
      <c r="BJ6" s="97"/>
      <c r="BK6" s="97"/>
      <c r="BL6" s="97"/>
      <c r="BM6" s="98"/>
      <c r="BN6" s="96">
        <f>BN7</f>
        <v>46020</v>
      </c>
      <c r="BO6" s="97"/>
      <c r="BP6" s="97"/>
      <c r="BQ6" s="97"/>
      <c r="BR6" s="97"/>
      <c r="BS6" s="97"/>
      <c r="BT6" s="98"/>
      <c r="BU6" s="96">
        <f>BU7</f>
        <v>46027</v>
      </c>
      <c r="BV6" s="97"/>
      <c r="BW6" s="97"/>
      <c r="BX6" s="97"/>
      <c r="BY6" s="97"/>
      <c r="BZ6" s="97"/>
      <c r="CA6" s="98"/>
      <c r="CB6" s="96">
        <f>CB7</f>
        <v>46034</v>
      </c>
      <c r="CC6" s="97"/>
      <c r="CD6" s="97"/>
      <c r="CE6" s="97"/>
      <c r="CF6" s="97"/>
      <c r="CG6" s="97"/>
      <c r="CH6" s="98"/>
      <c r="CI6" s="96">
        <f>CI7</f>
        <v>46041</v>
      </c>
      <c r="CJ6" s="97"/>
      <c r="CK6" s="97"/>
      <c r="CL6" s="97"/>
      <c r="CM6" s="97"/>
      <c r="CN6" s="97"/>
      <c r="CO6" s="98"/>
      <c r="CP6" s="96">
        <f>CP7</f>
        <v>46048</v>
      </c>
      <c r="CQ6" s="97"/>
      <c r="CR6" s="97"/>
      <c r="CS6" s="97"/>
      <c r="CT6" s="97"/>
      <c r="CU6" s="97"/>
      <c r="CV6" s="98"/>
      <c r="CW6" s="96">
        <f>CW7</f>
        <v>46055</v>
      </c>
      <c r="CX6" s="97"/>
      <c r="CY6" s="97"/>
      <c r="CZ6" s="97"/>
      <c r="DA6" s="97"/>
      <c r="DB6" s="97"/>
      <c r="DC6" s="98"/>
      <c r="DD6" s="96">
        <f>DD7</f>
        <v>46062</v>
      </c>
      <c r="DE6" s="97"/>
      <c r="DF6" s="97"/>
      <c r="DG6" s="97"/>
      <c r="DH6" s="97"/>
      <c r="DI6" s="97"/>
      <c r="DJ6" s="98"/>
      <c r="DK6" s="96">
        <f>DK7</f>
        <v>46069</v>
      </c>
      <c r="DL6" s="97"/>
      <c r="DM6" s="97"/>
      <c r="DN6" s="97"/>
      <c r="DO6" s="97"/>
      <c r="DP6" s="97"/>
      <c r="DQ6" s="98"/>
      <c r="DR6" s="96">
        <f>DR7</f>
        <v>46076</v>
      </c>
      <c r="DS6" s="97"/>
      <c r="DT6" s="97"/>
      <c r="DU6" s="97"/>
      <c r="DV6" s="97"/>
      <c r="DW6" s="97"/>
      <c r="DX6" s="98"/>
      <c r="DY6" s="96">
        <f>DY7</f>
        <v>46083</v>
      </c>
      <c r="DZ6" s="97"/>
      <c r="EA6" s="97"/>
      <c r="EB6" s="97"/>
      <c r="EC6" s="97"/>
      <c r="ED6" s="97"/>
      <c r="EE6" s="98"/>
      <c r="EF6" s="96">
        <f>EF7</f>
        <v>46090</v>
      </c>
      <c r="EG6" s="97"/>
      <c r="EH6" s="97"/>
      <c r="EI6" s="97"/>
      <c r="EJ6" s="97"/>
      <c r="EK6" s="97"/>
      <c r="EL6" s="98"/>
      <c r="EM6" s="96">
        <f>EM7</f>
        <v>46097</v>
      </c>
      <c r="EN6" s="97"/>
      <c r="EO6" s="97"/>
      <c r="EP6" s="97"/>
      <c r="EQ6" s="97"/>
      <c r="ER6" s="97"/>
      <c r="ES6" s="98"/>
      <c r="ET6" s="96">
        <f>ET7</f>
        <v>46104</v>
      </c>
      <c r="EU6" s="97"/>
      <c r="EV6" s="97"/>
      <c r="EW6" s="97"/>
      <c r="EX6" s="97"/>
      <c r="EY6" s="97"/>
      <c r="EZ6" s="98"/>
      <c r="FA6" s="96">
        <f>FA7</f>
        <v>46111</v>
      </c>
      <c r="FB6" s="97"/>
      <c r="FC6" s="97"/>
      <c r="FD6" s="97"/>
      <c r="FE6" s="97"/>
      <c r="FF6" s="97"/>
      <c r="FG6" s="98"/>
      <c r="FH6" s="96">
        <f>FH7</f>
        <v>46118</v>
      </c>
      <c r="FI6" s="97"/>
      <c r="FJ6" s="97"/>
      <c r="FK6" s="97"/>
      <c r="FL6" s="97"/>
      <c r="FM6" s="97"/>
      <c r="FN6" s="98"/>
      <c r="FO6" s="96">
        <f>FO7</f>
        <v>46125</v>
      </c>
      <c r="FP6" s="97"/>
      <c r="FQ6" s="97"/>
      <c r="FR6" s="97"/>
      <c r="FS6" s="97"/>
      <c r="FT6" s="97"/>
      <c r="FU6" s="98"/>
      <c r="FV6" s="96">
        <f>FV7</f>
        <v>46132</v>
      </c>
      <c r="FW6" s="97"/>
      <c r="FX6" s="97"/>
      <c r="FY6" s="97"/>
      <c r="FZ6" s="97"/>
      <c r="GA6" s="97"/>
      <c r="GB6" s="98"/>
      <c r="GC6" s="96">
        <f>GC7</f>
        <v>46139</v>
      </c>
      <c r="GD6" s="97"/>
      <c r="GE6" s="97"/>
      <c r="GF6" s="97"/>
      <c r="GG6" s="97"/>
      <c r="GH6" s="97"/>
      <c r="GI6" s="98"/>
    </row>
    <row r="7" spans="1:191" ht="15" customHeight="1" x14ac:dyDescent="0.35">
      <c r="A7" s="24" t="s">
        <v>6</v>
      </c>
      <c r="B7" s="26"/>
      <c r="C7" s="26"/>
      <c r="D7" s="26"/>
      <c r="E7" s="26"/>
      <c r="F7" s="26"/>
      <c r="G7" s="26"/>
      <c r="H7" s="26"/>
      <c r="J7" s="30">
        <f>Project_Start-WEEKDAY(Project_Start,1)+2+7*(Display_Week-1)</f>
        <v>45964</v>
      </c>
      <c r="K7" s="31">
        <f>J7+1</f>
        <v>45965</v>
      </c>
      <c r="L7" s="31">
        <f t="shared" ref="L7:AY7" si="0">K7+1</f>
        <v>45966</v>
      </c>
      <c r="M7" s="31">
        <f t="shared" si="0"/>
        <v>45967</v>
      </c>
      <c r="N7" s="31">
        <f t="shared" si="0"/>
        <v>45968</v>
      </c>
      <c r="O7" s="31">
        <f t="shared" si="0"/>
        <v>45969</v>
      </c>
      <c r="P7" s="32">
        <f t="shared" si="0"/>
        <v>45970</v>
      </c>
      <c r="Q7" s="30">
        <f>P7+1</f>
        <v>45971</v>
      </c>
      <c r="R7" s="31">
        <f>Q7+1</f>
        <v>45972</v>
      </c>
      <c r="S7" s="31">
        <f t="shared" si="0"/>
        <v>45973</v>
      </c>
      <c r="T7" s="31">
        <f t="shared" si="0"/>
        <v>45974</v>
      </c>
      <c r="U7" s="31">
        <f t="shared" si="0"/>
        <v>45975</v>
      </c>
      <c r="V7" s="31">
        <f t="shared" si="0"/>
        <v>45976</v>
      </c>
      <c r="W7" s="32">
        <f t="shared" si="0"/>
        <v>45977</v>
      </c>
      <c r="X7" s="30">
        <f>W7+1</f>
        <v>45978</v>
      </c>
      <c r="Y7" s="31">
        <f>X7+1</f>
        <v>45979</v>
      </c>
      <c r="Z7" s="31">
        <f t="shared" si="0"/>
        <v>45980</v>
      </c>
      <c r="AA7" s="31">
        <f t="shared" si="0"/>
        <v>45981</v>
      </c>
      <c r="AB7" s="31">
        <f t="shared" si="0"/>
        <v>45982</v>
      </c>
      <c r="AC7" s="31">
        <f t="shared" si="0"/>
        <v>45983</v>
      </c>
      <c r="AD7" s="32">
        <f t="shared" si="0"/>
        <v>45984</v>
      </c>
      <c r="AE7" s="30">
        <f>AD7+1</f>
        <v>45985</v>
      </c>
      <c r="AF7" s="31">
        <f>AE7+1</f>
        <v>45986</v>
      </c>
      <c r="AG7" s="31">
        <f t="shared" si="0"/>
        <v>45987</v>
      </c>
      <c r="AH7" s="31">
        <f t="shared" si="0"/>
        <v>45988</v>
      </c>
      <c r="AI7" s="31">
        <f t="shared" si="0"/>
        <v>45989</v>
      </c>
      <c r="AJ7" s="31">
        <f t="shared" si="0"/>
        <v>45990</v>
      </c>
      <c r="AK7" s="32">
        <f t="shared" si="0"/>
        <v>45991</v>
      </c>
      <c r="AL7" s="30">
        <f>AK7+1</f>
        <v>45992</v>
      </c>
      <c r="AM7" s="31">
        <f>AL7+1</f>
        <v>45993</v>
      </c>
      <c r="AN7" s="31">
        <f t="shared" si="0"/>
        <v>45994</v>
      </c>
      <c r="AO7" s="31">
        <f t="shared" si="0"/>
        <v>45995</v>
      </c>
      <c r="AP7" s="31">
        <f t="shared" si="0"/>
        <v>45996</v>
      </c>
      <c r="AQ7" s="31">
        <f t="shared" si="0"/>
        <v>45997</v>
      </c>
      <c r="AR7" s="32">
        <f t="shared" si="0"/>
        <v>45998</v>
      </c>
      <c r="AS7" s="30">
        <f>AR7+1</f>
        <v>45999</v>
      </c>
      <c r="AT7" s="31">
        <f>AS7+1</f>
        <v>46000</v>
      </c>
      <c r="AU7" s="31">
        <f t="shared" si="0"/>
        <v>46001</v>
      </c>
      <c r="AV7" s="31">
        <f t="shared" si="0"/>
        <v>46002</v>
      </c>
      <c r="AW7" s="31">
        <f t="shared" si="0"/>
        <v>46003</v>
      </c>
      <c r="AX7" s="31">
        <f t="shared" si="0"/>
        <v>46004</v>
      </c>
      <c r="AY7" s="32">
        <f t="shared" si="0"/>
        <v>46005</v>
      </c>
      <c r="AZ7" s="30">
        <f>AY7+1</f>
        <v>46006</v>
      </c>
      <c r="BA7" s="31">
        <f>AZ7+1</f>
        <v>46007</v>
      </c>
      <c r="BB7" s="31">
        <f t="shared" ref="BB7:BF7" si="1">BA7+1</f>
        <v>46008</v>
      </c>
      <c r="BC7" s="31">
        <f t="shared" si="1"/>
        <v>46009</v>
      </c>
      <c r="BD7" s="31">
        <f t="shared" si="1"/>
        <v>46010</v>
      </c>
      <c r="BE7" s="31">
        <f t="shared" si="1"/>
        <v>46011</v>
      </c>
      <c r="BF7" s="32">
        <f t="shared" si="1"/>
        <v>46012</v>
      </c>
      <c r="BG7" s="30">
        <f>BF7+1</f>
        <v>46013</v>
      </c>
      <c r="BH7" s="31">
        <f>BG7+1</f>
        <v>46014</v>
      </c>
      <c r="BI7" s="31">
        <f t="shared" ref="BI7:BM7" si="2">BH7+1</f>
        <v>46015</v>
      </c>
      <c r="BJ7" s="31">
        <f t="shared" si="2"/>
        <v>46016</v>
      </c>
      <c r="BK7" s="31">
        <f t="shared" si="2"/>
        <v>46017</v>
      </c>
      <c r="BL7" s="31">
        <f t="shared" si="2"/>
        <v>46018</v>
      </c>
      <c r="BM7" s="32">
        <f t="shared" si="2"/>
        <v>46019</v>
      </c>
      <c r="BN7" s="30">
        <f>BM7+1</f>
        <v>46020</v>
      </c>
      <c r="BO7" s="31">
        <f>BN7+1</f>
        <v>46021</v>
      </c>
      <c r="BP7" s="31">
        <f t="shared" ref="BP7" si="3">BO7+1</f>
        <v>46022</v>
      </c>
      <c r="BQ7" s="31">
        <f t="shared" ref="BQ7" si="4">BP7+1</f>
        <v>46023</v>
      </c>
      <c r="BR7" s="31">
        <f t="shared" ref="BR7" si="5">BQ7+1</f>
        <v>46024</v>
      </c>
      <c r="BS7" s="31">
        <f t="shared" ref="BS7" si="6">BR7+1</f>
        <v>46025</v>
      </c>
      <c r="BT7" s="32">
        <f t="shared" ref="BT7" si="7">BS7+1</f>
        <v>46026</v>
      </c>
      <c r="BU7" s="30">
        <f>BT7+1</f>
        <v>46027</v>
      </c>
      <c r="BV7" s="31">
        <f>BU7+1</f>
        <v>46028</v>
      </c>
      <c r="BW7" s="31">
        <f t="shared" ref="BW7" si="8">BV7+1</f>
        <v>46029</v>
      </c>
      <c r="BX7" s="31">
        <f t="shared" ref="BX7" si="9">BW7+1</f>
        <v>46030</v>
      </c>
      <c r="BY7" s="31">
        <f t="shared" ref="BY7" si="10">BX7+1</f>
        <v>46031</v>
      </c>
      <c r="BZ7" s="31">
        <f t="shared" ref="BZ7" si="11">BY7+1</f>
        <v>46032</v>
      </c>
      <c r="CA7" s="32">
        <f t="shared" ref="CA7" si="12">BZ7+1</f>
        <v>46033</v>
      </c>
      <c r="CB7" s="30">
        <f>CA7+1</f>
        <v>46034</v>
      </c>
      <c r="CC7" s="31">
        <f>CB7+1</f>
        <v>46035</v>
      </c>
      <c r="CD7" s="31">
        <f t="shared" ref="CD7" si="13">CC7+1</f>
        <v>46036</v>
      </c>
      <c r="CE7" s="31">
        <f t="shared" ref="CE7" si="14">CD7+1</f>
        <v>46037</v>
      </c>
      <c r="CF7" s="31">
        <f t="shared" ref="CF7" si="15">CE7+1</f>
        <v>46038</v>
      </c>
      <c r="CG7" s="31">
        <f t="shared" ref="CG7" si="16">CF7+1</f>
        <v>46039</v>
      </c>
      <c r="CH7" s="32">
        <f t="shared" ref="CH7" si="17">CG7+1</f>
        <v>46040</v>
      </c>
      <c r="CI7" s="30">
        <f>CH7+1</f>
        <v>46041</v>
      </c>
      <c r="CJ7" s="31">
        <f>CI7+1</f>
        <v>46042</v>
      </c>
      <c r="CK7" s="31">
        <f t="shared" ref="CK7" si="18">CJ7+1</f>
        <v>46043</v>
      </c>
      <c r="CL7" s="31">
        <f t="shared" ref="CL7" si="19">CK7+1</f>
        <v>46044</v>
      </c>
      <c r="CM7" s="31">
        <f t="shared" ref="CM7" si="20">CL7+1</f>
        <v>46045</v>
      </c>
      <c r="CN7" s="31">
        <f t="shared" ref="CN7" si="21">CM7+1</f>
        <v>46046</v>
      </c>
      <c r="CO7" s="32">
        <f t="shared" ref="CO7" si="22">CN7+1</f>
        <v>46047</v>
      </c>
      <c r="CP7" s="30">
        <f>CO7+1</f>
        <v>46048</v>
      </c>
      <c r="CQ7" s="31">
        <f>CP7+1</f>
        <v>46049</v>
      </c>
      <c r="CR7" s="31">
        <f t="shared" ref="CR7" si="23">CQ7+1</f>
        <v>46050</v>
      </c>
      <c r="CS7" s="31">
        <f t="shared" ref="CS7" si="24">CR7+1</f>
        <v>46051</v>
      </c>
      <c r="CT7" s="31">
        <f t="shared" ref="CT7" si="25">CS7+1</f>
        <v>46052</v>
      </c>
      <c r="CU7" s="31">
        <f t="shared" ref="CU7" si="26">CT7+1</f>
        <v>46053</v>
      </c>
      <c r="CV7" s="32">
        <f t="shared" ref="CV7" si="27">CU7+1</f>
        <v>46054</v>
      </c>
      <c r="CW7" s="30">
        <f>CV7+1</f>
        <v>46055</v>
      </c>
      <c r="CX7" s="31">
        <f>CW7+1</f>
        <v>46056</v>
      </c>
      <c r="CY7" s="31">
        <f t="shared" ref="CY7" si="28">CX7+1</f>
        <v>46057</v>
      </c>
      <c r="CZ7" s="31">
        <f t="shared" ref="CZ7" si="29">CY7+1</f>
        <v>46058</v>
      </c>
      <c r="DA7" s="31">
        <f t="shared" ref="DA7" si="30">CZ7+1</f>
        <v>46059</v>
      </c>
      <c r="DB7" s="31">
        <f t="shared" ref="DB7" si="31">DA7+1</f>
        <v>46060</v>
      </c>
      <c r="DC7" s="32">
        <f t="shared" ref="DC7" si="32">DB7+1</f>
        <v>46061</v>
      </c>
      <c r="DD7" s="30">
        <f>DC7+1</f>
        <v>46062</v>
      </c>
      <c r="DE7" s="31">
        <f>DD7+1</f>
        <v>46063</v>
      </c>
      <c r="DF7" s="31">
        <f t="shared" ref="DF7" si="33">DE7+1</f>
        <v>46064</v>
      </c>
      <c r="DG7" s="31">
        <f t="shared" ref="DG7" si="34">DF7+1</f>
        <v>46065</v>
      </c>
      <c r="DH7" s="31">
        <f t="shared" ref="DH7" si="35">DG7+1</f>
        <v>46066</v>
      </c>
      <c r="DI7" s="31">
        <f t="shared" ref="DI7" si="36">DH7+1</f>
        <v>46067</v>
      </c>
      <c r="DJ7" s="32">
        <f t="shared" ref="DJ7" si="37">DI7+1</f>
        <v>46068</v>
      </c>
      <c r="DK7" s="30">
        <f>DJ7+1</f>
        <v>46069</v>
      </c>
      <c r="DL7" s="31">
        <f>DK7+1</f>
        <v>46070</v>
      </c>
      <c r="DM7" s="31">
        <f t="shared" ref="DM7" si="38">DL7+1</f>
        <v>46071</v>
      </c>
      <c r="DN7" s="31">
        <f t="shared" ref="DN7" si="39">DM7+1</f>
        <v>46072</v>
      </c>
      <c r="DO7" s="31">
        <f t="shared" ref="DO7" si="40">DN7+1</f>
        <v>46073</v>
      </c>
      <c r="DP7" s="31">
        <f t="shared" ref="DP7" si="41">DO7+1</f>
        <v>46074</v>
      </c>
      <c r="DQ7" s="32">
        <f t="shared" ref="DQ7" si="42">DP7+1</f>
        <v>46075</v>
      </c>
      <c r="DR7" s="30">
        <f>DQ7+1</f>
        <v>46076</v>
      </c>
      <c r="DS7" s="31">
        <f>DR7+1</f>
        <v>46077</v>
      </c>
      <c r="DT7" s="31">
        <f t="shared" ref="DT7" si="43">DS7+1</f>
        <v>46078</v>
      </c>
      <c r="DU7" s="31">
        <f t="shared" ref="DU7" si="44">DT7+1</f>
        <v>46079</v>
      </c>
      <c r="DV7" s="31">
        <f t="shared" ref="DV7" si="45">DU7+1</f>
        <v>46080</v>
      </c>
      <c r="DW7" s="31">
        <f t="shared" ref="DW7" si="46">DV7+1</f>
        <v>46081</v>
      </c>
      <c r="DX7" s="32">
        <f t="shared" ref="DX7" si="47">DW7+1</f>
        <v>46082</v>
      </c>
      <c r="DY7" s="30">
        <f>DX7+1</f>
        <v>46083</v>
      </c>
      <c r="DZ7" s="31">
        <f>DY7+1</f>
        <v>46084</v>
      </c>
      <c r="EA7" s="31">
        <f t="shared" ref="EA7" si="48">DZ7+1</f>
        <v>46085</v>
      </c>
      <c r="EB7" s="31">
        <f t="shared" ref="EB7" si="49">EA7+1</f>
        <v>46086</v>
      </c>
      <c r="EC7" s="31">
        <f t="shared" ref="EC7" si="50">EB7+1</f>
        <v>46087</v>
      </c>
      <c r="ED7" s="31">
        <f t="shared" ref="ED7" si="51">EC7+1</f>
        <v>46088</v>
      </c>
      <c r="EE7" s="32">
        <f t="shared" ref="EE7" si="52">ED7+1</f>
        <v>46089</v>
      </c>
      <c r="EF7" s="30">
        <f>EE7+1</f>
        <v>46090</v>
      </c>
      <c r="EG7" s="31">
        <f>EF7+1</f>
        <v>46091</v>
      </c>
      <c r="EH7" s="31">
        <f t="shared" ref="EH7" si="53">EG7+1</f>
        <v>46092</v>
      </c>
      <c r="EI7" s="31">
        <f t="shared" ref="EI7" si="54">EH7+1</f>
        <v>46093</v>
      </c>
      <c r="EJ7" s="31">
        <f t="shared" ref="EJ7" si="55">EI7+1</f>
        <v>46094</v>
      </c>
      <c r="EK7" s="31">
        <f t="shared" ref="EK7" si="56">EJ7+1</f>
        <v>46095</v>
      </c>
      <c r="EL7" s="32">
        <f t="shared" ref="EL7" si="57">EK7+1</f>
        <v>46096</v>
      </c>
      <c r="EM7" s="30">
        <f>EL7+1</f>
        <v>46097</v>
      </c>
      <c r="EN7" s="31">
        <f>EM7+1</f>
        <v>46098</v>
      </c>
      <c r="EO7" s="31">
        <f t="shared" ref="EO7" si="58">EN7+1</f>
        <v>46099</v>
      </c>
      <c r="EP7" s="31">
        <f t="shared" ref="EP7" si="59">EO7+1</f>
        <v>46100</v>
      </c>
      <c r="EQ7" s="31">
        <f t="shared" ref="EQ7" si="60">EP7+1</f>
        <v>46101</v>
      </c>
      <c r="ER7" s="31">
        <f t="shared" ref="ER7" si="61">EQ7+1</f>
        <v>46102</v>
      </c>
      <c r="ES7" s="32">
        <f t="shared" ref="ES7" si="62">ER7+1</f>
        <v>46103</v>
      </c>
      <c r="ET7" s="30">
        <f>ES7+1</f>
        <v>46104</v>
      </c>
      <c r="EU7" s="31">
        <f>ET7+1</f>
        <v>46105</v>
      </c>
      <c r="EV7" s="31">
        <f t="shared" ref="EV7" si="63">EU7+1</f>
        <v>46106</v>
      </c>
      <c r="EW7" s="31">
        <f t="shared" ref="EW7" si="64">EV7+1</f>
        <v>46107</v>
      </c>
      <c r="EX7" s="31">
        <f t="shared" ref="EX7" si="65">EW7+1</f>
        <v>46108</v>
      </c>
      <c r="EY7" s="31">
        <f t="shared" ref="EY7" si="66">EX7+1</f>
        <v>46109</v>
      </c>
      <c r="EZ7" s="32">
        <f t="shared" ref="EZ7" si="67">EY7+1</f>
        <v>46110</v>
      </c>
      <c r="FA7" s="30">
        <f>EZ7+1</f>
        <v>46111</v>
      </c>
      <c r="FB7" s="31">
        <f>FA7+1</f>
        <v>46112</v>
      </c>
      <c r="FC7" s="31">
        <f t="shared" ref="FC7" si="68">FB7+1</f>
        <v>46113</v>
      </c>
      <c r="FD7" s="31">
        <f t="shared" ref="FD7" si="69">FC7+1</f>
        <v>46114</v>
      </c>
      <c r="FE7" s="31">
        <f t="shared" ref="FE7" si="70">FD7+1</f>
        <v>46115</v>
      </c>
      <c r="FF7" s="31">
        <f t="shared" ref="FF7" si="71">FE7+1</f>
        <v>46116</v>
      </c>
      <c r="FG7" s="32">
        <f t="shared" ref="FG7" si="72">FF7+1</f>
        <v>46117</v>
      </c>
      <c r="FH7" s="30">
        <f>FG7+1</f>
        <v>46118</v>
      </c>
      <c r="FI7" s="31">
        <f>FH7+1</f>
        <v>46119</v>
      </c>
      <c r="FJ7" s="31">
        <f t="shared" ref="FJ7" si="73">FI7+1</f>
        <v>46120</v>
      </c>
      <c r="FK7" s="31">
        <f t="shared" ref="FK7" si="74">FJ7+1</f>
        <v>46121</v>
      </c>
      <c r="FL7" s="31">
        <f t="shared" ref="FL7" si="75">FK7+1</f>
        <v>46122</v>
      </c>
      <c r="FM7" s="31">
        <f t="shared" ref="FM7" si="76">FL7+1</f>
        <v>46123</v>
      </c>
      <c r="FN7" s="32">
        <f t="shared" ref="FN7" si="77">FM7+1</f>
        <v>46124</v>
      </c>
      <c r="FO7" s="30">
        <f>FN7+1</f>
        <v>46125</v>
      </c>
      <c r="FP7" s="31">
        <f>FO7+1</f>
        <v>46126</v>
      </c>
      <c r="FQ7" s="31">
        <f t="shared" ref="FQ7" si="78">FP7+1</f>
        <v>46127</v>
      </c>
      <c r="FR7" s="31">
        <f t="shared" ref="FR7" si="79">FQ7+1</f>
        <v>46128</v>
      </c>
      <c r="FS7" s="31">
        <f t="shared" ref="FS7" si="80">FR7+1</f>
        <v>46129</v>
      </c>
      <c r="FT7" s="31">
        <f t="shared" ref="FT7" si="81">FS7+1</f>
        <v>46130</v>
      </c>
      <c r="FU7" s="32">
        <f t="shared" ref="FU7" si="82">FT7+1</f>
        <v>46131</v>
      </c>
      <c r="FV7" s="30">
        <f>FU7+1</f>
        <v>46132</v>
      </c>
      <c r="FW7" s="31">
        <f>FV7+1</f>
        <v>46133</v>
      </c>
      <c r="FX7" s="31">
        <f t="shared" ref="FX7" si="83">FW7+1</f>
        <v>46134</v>
      </c>
      <c r="FY7" s="31">
        <f t="shared" ref="FY7" si="84">FX7+1</f>
        <v>46135</v>
      </c>
      <c r="FZ7" s="31">
        <f t="shared" ref="FZ7" si="85">FY7+1</f>
        <v>46136</v>
      </c>
      <c r="GA7" s="31">
        <f t="shared" ref="GA7" si="86">FZ7+1</f>
        <v>46137</v>
      </c>
      <c r="GB7" s="32">
        <f t="shared" ref="GB7" si="87">GA7+1</f>
        <v>46138</v>
      </c>
      <c r="GC7" s="30">
        <f>GB7+1</f>
        <v>46139</v>
      </c>
      <c r="GD7" s="31">
        <f>GC7+1</f>
        <v>46140</v>
      </c>
      <c r="GE7" s="31">
        <f t="shared" ref="GE7" si="88">GD7+1</f>
        <v>46141</v>
      </c>
      <c r="GF7" s="31">
        <f t="shared" ref="GF7" si="89">GE7+1</f>
        <v>46142</v>
      </c>
      <c r="GG7" s="31">
        <f t="shared" ref="GG7" si="90">GF7+1</f>
        <v>46143</v>
      </c>
      <c r="GH7" s="31">
        <f t="shared" ref="GH7" si="91">GG7+1</f>
        <v>46144</v>
      </c>
      <c r="GI7" s="32">
        <f t="shared" ref="GI7" si="92">GH7+1</f>
        <v>46145</v>
      </c>
    </row>
    <row r="8" spans="1:191" ht="30" customHeight="1" thickBot="1" x14ac:dyDescent="0.4">
      <c r="A8" s="24" t="s">
        <v>7</v>
      </c>
      <c r="B8" s="6" t="s">
        <v>8</v>
      </c>
      <c r="C8" s="7" t="s">
        <v>9</v>
      </c>
      <c r="D8" s="7" t="s">
        <v>10</v>
      </c>
      <c r="E8" s="7" t="s">
        <v>11</v>
      </c>
      <c r="F8" s="7" t="s">
        <v>12</v>
      </c>
      <c r="G8" s="7" t="s">
        <v>37</v>
      </c>
      <c r="H8" s="7"/>
      <c r="I8" s="7" t="s">
        <v>13</v>
      </c>
      <c r="J8" s="8" t="str">
        <f t="shared" ref="J8" si="93">LEFT(TEXT(J7,"ddd"),1)</f>
        <v>M</v>
      </c>
      <c r="K8" s="8" t="str">
        <f t="shared" ref="K8:AS8" si="94">LEFT(TEXT(K7,"ddd"),1)</f>
        <v>T</v>
      </c>
      <c r="L8" s="8" t="str">
        <f t="shared" si="94"/>
        <v>W</v>
      </c>
      <c r="M8" s="8" t="str">
        <f t="shared" si="94"/>
        <v>T</v>
      </c>
      <c r="N8" s="8" t="str">
        <f t="shared" si="94"/>
        <v>F</v>
      </c>
      <c r="O8" s="8" t="str">
        <f t="shared" si="94"/>
        <v>S</v>
      </c>
      <c r="P8" s="8" t="str">
        <f t="shared" si="94"/>
        <v>S</v>
      </c>
      <c r="Q8" s="8" t="str">
        <f t="shared" si="94"/>
        <v>M</v>
      </c>
      <c r="R8" s="8" t="str">
        <f t="shared" si="94"/>
        <v>T</v>
      </c>
      <c r="S8" s="8" t="str">
        <f t="shared" si="94"/>
        <v>W</v>
      </c>
      <c r="T8" s="8" t="str">
        <f t="shared" si="94"/>
        <v>T</v>
      </c>
      <c r="U8" s="8" t="str">
        <f t="shared" si="94"/>
        <v>F</v>
      </c>
      <c r="V8" s="8" t="str">
        <f t="shared" si="94"/>
        <v>S</v>
      </c>
      <c r="W8" s="8" t="str">
        <f t="shared" si="94"/>
        <v>S</v>
      </c>
      <c r="X8" s="8" t="str">
        <f t="shared" si="94"/>
        <v>M</v>
      </c>
      <c r="Y8" s="8" t="str">
        <f t="shared" si="94"/>
        <v>T</v>
      </c>
      <c r="Z8" s="8" t="str">
        <f t="shared" si="94"/>
        <v>W</v>
      </c>
      <c r="AA8" s="8" t="str">
        <f t="shared" si="94"/>
        <v>T</v>
      </c>
      <c r="AB8" s="8" t="str">
        <f t="shared" si="94"/>
        <v>F</v>
      </c>
      <c r="AC8" s="8" t="str">
        <f t="shared" si="94"/>
        <v>S</v>
      </c>
      <c r="AD8" s="8" t="str">
        <f t="shared" si="94"/>
        <v>S</v>
      </c>
      <c r="AE8" s="8" t="str">
        <f t="shared" si="94"/>
        <v>M</v>
      </c>
      <c r="AF8" s="8" t="str">
        <f t="shared" si="94"/>
        <v>T</v>
      </c>
      <c r="AG8" s="8" t="str">
        <f t="shared" si="94"/>
        <v>W</v>
      </c>
      <c r="AH8" s="8" t="str">
        <f t="shared" si="94"/>
        <v>T</v>
      </c>
      <c r="AI8" s="8" t="str">
        <f t="shared" si="94"/>
        <v>F</v>
      </c>
      <c r="AJ8" s="8" t="str">
        <f t="shared" si="94"/>
        <v>S</v>
      </c>
      <c r="AK8" s="8" t="str">
        <f t="shared" si="94"/>
        <v>S</v>
      </c>
      <c r="AL8" s="8" t="str">
        <f t="shared" si="94"/>
        <v>M</v>
      </c>
      <c r="AM8" s="8" t="str">
        <f t="shared" si="94"/>
        <v>T</v>
      </c>
      <c r="AN8" s="8" t="str">
        <f t="shared" si="94"/>
        <v>W</v>
      </c>
      <c r="AO8" s="8" t="str">
        <f t="shared" si="94"/>
        <v>T</v>
      </c>
      <c r="AP8" s="8" t="str">
        <f t="shared" si="94"/>
        <v>F</v>
      </c>
      <c r="AQ8" s="8" t="str">
        <f t="shared" si="94"/>
        <v>S</v>
      </c>
      <c r="AR8" s="8" t="str">
        <f t="shared" si="94"/>
        <v>S</v>
      </c>
      <c r="AS8" s="8" t="str">
        <f t="shared" si="94"/>
        <v>M</v>
      </c>
      <c r="AT8" s="8" t="str">
        <f t="shared" ref="AT8:BN8" si="95">LEFT(TEXT(AT7,"ddd"),1)</f>
        <v>T</v>
      </c>
      <c r="AU8" s="8" t="str">
        <f t="shared" si="95"/>
        <v>W</v>
      </c>
      <c r="AV8" s="8" t="str">
        <f t="shared" si="95"/>
        <v>T</v>
      </c>
      <c r="AW8" s="8" t="str">
        <f t="shared" si="95"/>
        <v>F</v>
      </c>
      <c r="AX8" s="8" t="str">
        <f t="shared" si="95"/>
        <v>S</v>
      </c>
      <c r="AY8" s="8" t="str">
        <f t="shared" si="95"/>
        <v>S</v>
      </c>
      <c r="AZ8" s="8" t="str">
        <f t="shared" si="95"/>
        <v>M</v>
      </c>
      <c r="BA8" s="8" t="str">
        <f t="shared" si="95"/>
        <v>T</v>
      </c>
      <c r="BB8" s="8" t="str">
        <f t="shared" si="95"/>
        <v>W</v>
      </c>
      <c r="BC8" s="8" t="str">
        <f t="shared" si="95"/>
        <v>T</v>
      </c>
      <c r="BD8" s="8" t="str">
        <f t="shared" si="95"/>
        <v>F</v>
      </c>
      <c r="BE8" s="8" t="str">
        <f t="shared" si="95"/>
        <v>S</v>
      </c>
      <c r="BF8" s="8" t="str">
        <f t="shared" si="95"/>
        <v>S</v>
      </c>
      <c r="BG8" s="8" t="str">
        <f t="shared" si="95"/>
        <v>M</v>
      </c>
      <c r="BH8" s="8" t="str">
        <f t="shared" si="95"/>
        <v>T</v>
      </c>
      <c r="BI8" s="8" t="str">
        <f t="shared" si="95"/>
        <v>W</v>
      </c>
      <c r="BJ8" s="8" t="str">
        <f t="shared" si="95"/>
        <v>T</v>
      </c>
      <c r="BK8" s="8" t="str">
        <f t="shared" si="95"/>
        <v>F</v>
      </c>
      <c r="BL8" s="8" t="str">
        <f t="shared" si="95"/>
        <v>S</v>
      </c>
      <c r="BM8" s="8" t="str">
        <f t="shared" si="95"/>
        <v>S</v>
      </c>
      <c r="BN8" s="8" t="str">
        <f t="shared" si="95"/>
        <v>M</v>
      </c>
      <c r="BO8" s="8" t="str">
        <f t="shared" ref="BO8:DZ8" si="96">LEFT(TEXT(BO7,"ddd"),1)</f>
        <v>T</v>
      </c>
      <c r="BP8" s="8" t="str">
        <f t="shared" si="96"/>
        <v>W</v>
      </c>
      <c r="BQ8" s="8" t="str">
        <f t="shared" si="96"/>
        <v>T</v>
      </c>
      <c r="BR8" s="8" t="str">
        <f t="shared" si="96"/>
        <v>F</v>
      </c>
      <c r="BS8" s="8" t="str">
        <f t="shared" si="96"/>
        <v>S</v>
      </c>
      <c r="BT8" s="8" t="str">
        <f t="shared" si="96"/>
        <v>S</v>
      </c>
      <c r="BU8" s="8" t="str">
        <f t="shared" si="96"/>
        <v>M</v>
      </c>
      <c r="BV8" s="8" t="str">
        <f t="shared" si="96"/>
        <v>T</v>
      </c>
      <c r="BW8" s="8" t="str">
        <f t="shared" si="96"/>
        <v>W</v>
      </c>
      <c r="BX8" s="8" t="str">
        <f t="shared" si="96"/>
        <v>T</v>
      </c>
      <c r="BY8" s="8" t="str">
        <f t="shared" si="96"/>
        <v>F</v>
      </c>
      <c r="BZ8" s="8" t="str">
        <f t="shared" si="96"/>
        <v>S</v>
      </c>
      <c r="CA8" s="8" t="str">
        <f t="shared" si="96"/>
        <v>S</v>
      </c>
      <c r="CB8" s="8" t="str">
        <f t="shared" si="96"/>
        <v>M</v>
      </c>
      <c r="CC8" s="8" t="str">
        <f t="shared" si="96"/>
        <v>T</v>
      </c>
      <c r="CD8" s="8" t="str">
        <f t="shared" si="96"/>
        <v>W</v>
      </c>
      <c r="CE8" s="8" t="str">
        <f t="shared" si="96"/>
        <v>T</v>
      </c>
      <c r="CF8" s="8" t="str">
        <f t="shared" si="96"/>
        <v>F</v>
      </c>
      <c r="CG8" s="8" t="str">
        <f t="shared" si="96"/>
        <v>S</v>
      </c>
      <c r="CH8" s="8" t="str">
        <f t="shared" si="96"/>
        <v>S</v>
      </c>
      <c r="CI8" s="8" t="str">
        <f t="shared" si="96"/>
        <v>M</v>
      </c>
      <c r="CJ8" s="8" t="str">
        <f t="shared" si="96"/>
        <v>T</v>
      </c>
      <c r="CK8" s="8" t="str">
        <f t="shared" si="96"/>
        <v>W</v>
      </c>
      <c r="CL8" s="8" t="str">
        <f t="shared" si="96"/>
        <v>T</v>
      </c>
      <c r="CM8" s="8" t="str">
        <f t="shared" si="96"/>
        <v>F</v>
      </c>
      <c r="CN8" s="8" t="str">
        <f t="shared" si="96"/>
        <v>S</v>
      </c>
      <c r="CO8" s="8" t="str">
        <f t="shared" si="96"/>
        <v>S</v>
      </c>
      <c r="CP8" s="8" t="str">
        <f t="shared" si="96"/>
        <v>M</v>
      </c>
      <c r="CQ8" s="8" t="str">
        <f t="shared" si="96"/>
        <v>T</v>
      </c>
      <c r="CR8" s="8" t="str">
        <f t="shared" si="96"/>
        <v>W</v>
      </c>
      <c r="CS8" s="8" t="str">
        <f t="shared" si="96"/>
        <v>T</v>
      </c>
      <c r="CT8" s="8" t="str">
        <f t="shared" si="96"/>
        <v>F</v>
      </c>
      <c r="CU8" s="8" t="str">
        <f t="shared" si="96"/>
        <v>S</v>
      </c>
      <c r="CV8" s="8" t="str">
        <f t="shared" si="96"/>
        <v>S</v>
      </c>
      <c r="CW8" s="8" t="str">
        <f t="shared" si="96"/>
        <v>M</v>
      </c>
      <c r="CX8" s="8" t="str">
        <f t="shared" si="96"/>
        <v>T</v>
      </c>
      <c r="CY8" s="8" t="str">
        <f t="shared" si="96"/>
        <v>W</v>
      </c>
      <c r="CZ8" s="8" t="str">
        <f t="shared" si="96"/>
        <v>T</v>
      </c>
      <c r="DA8" s="8" t="str">
        <f t="shared" si="96"/>
        <v>F</v>
      </c>
      <c r="DB8" s="8" t="str">
        <f t="shared" si="96"/>
        <v>S</v>
      </c>
      <c r="DC8" s="8" t="str">
        <f t="shared" si="96"/>
        <v>S</v>
      </c>
      <c r="DD8" s="8" t="str">
        <f t="shared" si="96"/>
        <v>M</v>
      </c>
      <c r="DE8" s="8" t="str">
        <f t="shared" si="96"/>
        <v>T</v>
      </c>
      <c r="DF8" s="8" t="str">
        <f t="shared" si="96"/>
        <v>W</v>
      </c>
      <c r="DG8" s="8" t="str">
        <f t="shared" si="96"/>
        <v>T</v>
      </c>
      <c r="DH8" s="8" t="str">
        <f t="shared" si="96"/>
        <v>F</v>
      </c>
      <c r="DI8" s="8" t="str">
        <f t="shared" si="96"/>
        <v>S</v>
      </c>
      <c r="DJ8" s="8" t="str">
        <f t="shared" si="96"/>
        <v>S</v>
      </c>
      <c r="DK8" s="8" t="str">
        <f t="shared" si="96"/>
        <v>M</v>
      </c>
      <c r="DL8" s="8" t="str">
        <f t="shared" si="96"/>
        <v>T</v>
      </c>
      <c r="DM8" s="8" t="str">
        <f t="shared" si="96"/>
        <v>W</v>
      </c>
      <c r="DN8" s="8" t="str">
        <f t="shared" si="96"/>
        <v>T</v>
      </c>
      <c r="DO8" s="8" t="str">
        <f t="shared" si="96"/>
        <v>F</v>
      </c>
      <c r="DP8" s="8" t="str">
        <f t="shared" si="96"/>
        <v>S</v>
      </c>
      <c r="DQ8" s="8" t="str">
        <f t="shared" si="96"/>
        <v>S</v>
      </c>
      <c r="DR8" s="8" t="str">
        <f t="shared" si="96"/>
        <v>M</v>
      </c>
      <c r="DS8" s="8" t="str">
        <f t="shared" si="96"/>
        <v>T</v>
      </c>
      <c r="DT8" s="8" t="str">
        <f t="shared" si="96"/>
        <v>W</v>
      </c>
      <c r="DU8" s="8" t="str">
        <f t="shared" si="96"/>
        <v>T</v>
      </c>
      <c r="DV8" s="8" t="str">
        <f t="shared" si="96"/>
        <v>F</v>
      </c>
      <c r="DW8" s="8" t="str">
        <f t="shared" si="96"/>
        <v>S</v>
      </c>
      <c r="DX8" s="8" t="str">
        <f t="shared" si="96"/>
        <v>S</v>
      </c>
      <c r="DY8" s="8" t="str">
        <f t="shared" si="96"/>
        <v>M</v>
      </c>
      <c r="DZ8" s="8" t="str">
        <f t="shared" si="96"/>
        <v>T</v>
      </c>
      <c r="EA8" s="8" t="str">
        <f t="shared" ref="EA8:GI8" si="97">LEFT(TEXT(EA7,"ddd"),1)</f>
        <v>W</v>
      </c>
      <c r="EB8" s="8" t="str">
        <f t="shared" si="97"/>
        <v>T</v>
      </c>
      <c r="EC8" s="8" t="str">
        <f t="shared" si="97"/>
        <v>F</v>
      </c>
      <c r="ED8" s="8" t="str">
        <f t="shared" si="97"/>
        <v>S</v>
      </c>
      <c r="EE8" s="8" t="str">
        <f t="shared" si="97"/>
        <v>S</v>
      </c>
      <c r="EF8" s="8" t="str">
        <f t="shared" si="97"/>
        <v>M</v>
      </c>
      <c r="EG8" s="8" t="str">
        <f t="shared" si="97"/>
        <v>T</v>
      </c>
      <c r="EH8" s="8" t="str">
        <f t="shared" si="97"/>
        <v>W</v>
      </c>
      <c r="EI8" s="8" t="str">
        <f t="shared" si="97"/>
        <v>T</v>
      </c>
      <c r="EJ8" s="8" t="str">
        <f t="shared" si="97"/>
        <v>F</v>
      </c>
      <c r="EK8" s="8" t="str">
        <f t="shared" si="97"/>
        <v>S</v>
      </c>
      <c r="EL8" s="8" t="str">
        <f t="shared" si="97"/>
        <v>S</v>
      </c>
      <c r="EM8" s="8" t="str">
        <f t="shared" si="97"/>
        <v>M</v>
      </c>
      <c r="EN8" s="8" t="str">
        <f t="shared" si="97"/>
        <v>T</v>
      </c>
      <c r="EO8" s="8" t="str">
        <f t="shared" si="97"/>
        <v>W</v>
      </c>
      <c r="EP8" s="8" t="str">
        <f t="shared" si="97"/>
        <v>T</v>
      </c>
      <c r="EQ8" s="8" t="str">
        <f t="shared" si="97"/>
        <v>F</v>
      </c>
      <c r="ER8" s="8" t="str">
        <f t="shared" si="97"/>
        <v>S</v>
      </c>
      <c r="ES8" s="8" t="str">
        <f t="shared" si="97"/>
        <v>S</v>
      </c>
      <c r="ET8" s="8" t="str">
        <f t="shared" si="97"/>
        <v>M</v>
      </c>
      <c r="EU8" s="8" t="str">
        <f t="shared" si="97"/>
        <v>T</v>
      </c>
      <c r="EV8" s="8" t="str">
        <f t="shared" si="97"/>
        <v>W</v>
      </c>
      <c r="EW8" s="8" t="str">
        <f t="shared" si="97"/>
        <v>T</v>
      </c>
      <c r="EX8" s="8" t="str">
        <f t="shared" si="97"/>
        <v>F</v>
      </c>
      <c r="EY8" s="8" t="str">
        <f t="shared" si="97"/>
        <v>S</v>
      </c>
      <c r="EZ8" s="8" t="str">
        <f t="shared" si="97"/>
        <v>S</v>
      </c>
      <c r="FA8" s="8" t="str">
        <f t="shared" si="97"/>
        <v>M</v>
      </c>
      <c r="FB8" s="8" t="str">
        <f t="shared" si="97"/>
        <v>T</v>
      </c>
      <c r="FC8" s="8" t="str">
        <f t="shared" si="97"/>
        <v>W</v>
      </c>
      <c r="FD8" s="8" t="str">
        <f t="shared" si="97"/>
        <v>T</v>
      </c>
      <c r="FE8" s="8" t="str">
        <f t="shared" si="97"/>
        <v>F</v>
      </c>
      <c r="FF8" s="8" t="str">
        <f t="shared" si="97"/>
        <v>S</v>
      </c>
      <c r="FG8" s="8" t="str">
        <f t="shared" si="97"/>
        <v>S</v>
      </c>
      <c r="FH8" s="8" t="str">
        <f t="shared" si="97"/>
        <v>M</v>
      </c>
      <c r="FI8" s="8" t="str">
        <f t="shared" si="97"/>
        <v>T</v>
      </c>
      <c r="FJ8" s="8" t="str">
        <f t="shared" si="97"/>
        <v>W</v>
      </c>
      <c r="FK8" s="8" t="str">
        <f t="shared" si="97"/>
        <v>T</v>
      </c>
      <c r="FL8" s="8" t="str">
        <f t="shared" si="97"/>
        <v>F</v>
      </c>
      <c r="FM8" s="8" t="str">
        <f t="shared" si="97"/>
        <v>S</v>
      </c>
      <c r="FN8" s="8" t="str">
        <f t="shared" si="97"/>
        <v>S</v>
      </c>
      <c r="FO8" s="8" t="str">
        <f t="shared" si="97"/>
        <v>M</v>
      </c>
      <c r="FP8" s="8" t="str">
        <f t="shared" si="97"/>
        <v>T</v>
      </c>
      <c r="FQ8" s="8" t="str">
        <f t="shared" si="97"/>
        <v>W</v>
      </c>
      <c r="FR8" s="8" t="str">
        <f t="shared" si="97"/>
        <v>T</v>
      </c>
      <c r="FS8" s="8" t="str">
        <f t="shared" si="97"/>
        <v>F</v>
      </c>
      <c r="FT8" s="8" t="str">
        <f t="shared" si="97"/>
        <v>S</v>
      </c>
      <c r="FU8" s="8" t="str">
        <f t="shared" si="97"/>
        <v>S</v>
      </c>
      <c r="FV8" s="8" t="str">
        <f t="shared" si="97"/>
        <v>M</v>
      </c>
      <c r="FW8" s="8" t="str">
        <f t="shared" si="97"/>
        <v>T</v>
      </c>
      <c r="FX8" s="8" t="str">
        <f t="shared" si="97"/>
        <v>W</v>
      </c>
      <c r="FY8" s="8" t="str">
        <f t="shared" si="97"/>
        <v>T</v>
      </c>
      <c r="FZ8" s="8" t="str">
        <f t="shared" si="97"/>
        <v>F</v>
      </c>
      <c r="GA8" s="8" t="str">
        <f t="shared" si="97"/>
        <v>S</v>
      </c>
      <c r="GB8" s="8" t="str">
        <f t="shared" si="97"/>
        <v>S</v>
      </c>
      <c r="GC8" s="8" t="str">
        <f t="shared" si="97"/>
        <v>M</v>
      </c>
      <c r="GD8" s="8" t="str">
        <f t="shared" si="97"/>
        <v>T</v>
      </c>
      <c r="GE8" s="8" t="str">
        <f t="shared" si="97"/>
        <v>W</v>
      </c>
      <c r="GF8" s="8" t="str">
        <f t="shared" si="97"/>
        <v>T</v>
      </c>
      <c r="GG8" s="8" t="str">
        <f t="shared" si="97"/>
        <v>F</v>
      </c>
      <c r="GH8" s="8" t="str">
        <f t="shared" si="97"/>
        <v>S</v>
      </c>
      <c r="GI8" s="8" t="str">
        <f t="shared" si="97"/>
        <v>S</v>
      </c>
    </row>
    <row r="9" spans="1:191" ht="30" customHeight="1" thickBot="1" x14ac:dyDescent="0.4">
      <c r="A9" s="23" t="s">
        <v>14</v>
      </c>
      <c r="C9" s="25"/>
      <c r="E9"/>
      <c r="I9" t="str">
        <f>IF(OR(ISBLANK(task_start),ISBLANK(task_end)),"",task_end-task_start+1)</f>
        <v/>
      </c>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row>
    <row r="10" spans="1:191" s="2" customFormat="1" ht="30" customHeight="1" thickBot="1" x14ac:dyDescent="0.4">
      <c r="A10" s="24" t="s">
        <v>15</v>
      </c>
      <c r="B10" s="35" t="s">
        <v>40</v>
      </c>
      <c r="C10" s="36"/>
      <c r="D10" s="37"/>
      <c r="E10" s="38"/>
      <c r="F10" s="39"/>
      <c r="G10" s="39"/>
      <c r="H10" s="9"/>
      <c r="I10" s="9" t="str">
        <f t="shared" ref="I10:I24" si="98">IF(OR(ISBLANK(task_start),ISBLANK(task_end)),"",task_end-task_start+1)</f>
        <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row>
    <row r="11" spans="1:191" s="2" customFormat="1" ht="31.5" customHeight="1" thickBot="1" x14ac:dyDescent="0.4">
      <c r="A11" s="24" t="s">
        <v>16</v>
      </c>
      <c r="B11" s="59" t="s">
        <v>41</v>
      </c>
      <c r="C11" s="40" t="s">
        <v>63</v>
      </c>
      <c r="D11" s="41">
        <v>1</v>
      </c>
      <c r="E11" s="42">
        <v>45962</v>
      </c>
      <c r="F11" s="42">
        <v>45976</v>
      </c>
      <c r="G11" s="42"/>
      <c r="H11" s="9"/>
      <c r="I11" s="9">
        <f t="shared" si="98"/>
        <v>15</v>
      </c>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row>
    <row r="12" spans="1:191" s="2" customFormat="1" ht="31.5" customHeight="1" thickBot="1" x14ac:dyDescent="0.4">
      <c r="A12" s="24"/>
      <c r="B12" s="59" t="s">
        <v>42</v>
      </c>
      <c r="C12" s="40" t="s">
        <v>63</v>
      </c>
      <c r="D12" s="41">
        <v>1</v>
      </c>
      <c r="E12" s="42">
        <v>45977</v>
      </c>
      <c r="F12" s="42">
        <v>46000</v>
      </c>
      <c r="G12" s="43"/>
      <c r="H12" s="9"/>
      <c r="I12" s="9"/>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row>
    <row r="13" spans="1:191" s="2" customFormat="1" ht="31.5" customHeight="1" thickBot="1" x14ac:dyDescent="0.4">
      <c r="A13" s="23"/>
      <c r="B13" s="59" t="s">
        <v>45</v>
      </c>
      <c r="C13" s="40" t="s">
        <v>64</v>
      </c>
      <c r="D13" s="41">
        <v>1</v>
      </c>
      <c r="E13" s="42">
        <v>45985</v>
      </c>
      <c r="F13" s="42">
        <v>45985</v>
      </c>
      <c r="G13" s="44"/>
      <c r="H13" s="9"/>
      <c r="I13" s="9">
        <f t="shared" si="98"/>
        <v>1</v>
      </c>
      <c r="J13" s="10"/>
      <c r="K13" s="10"/>
      <c r="L13" s="10"/>
      <c r="M13" s="10"/>
      <c r="N13" s="10"/>
      <c r="O13" s="10"/>
      <c r="P13" s="10"/>
      <c r="Q13" s="10"/>
      <c r="R13" s="10"/>
      <c r="S13" s="10"/>
      <c r="T13" s="10"/>
      <c r="U13" s="10"/>
      <c r="V13" s="10"/>
      <c r="W13" s="10"/>
      <c r="X13" s="10"/>
      <c r="Y13" s="10"/>
      <c r="Z13" s="11"/>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row>
    <row r="14" spans="1:191" s="2" customFormat="1" ht="31.5" customHeight="1" thickBot="1" x14ac:dyDescent="0.4">
      <c r="A14" s="23"/>
      <c r="B14" s="59" t="s">
        <v>43</v>
      </c>
      <c r="C14" s="40" t="s">
        <v>65</v>
      </c>
      <c r="D14" s="41">
        <v>0.2</v>
      </c>
      <c r="E14" s="42">
        <v>45962</v>
      </c>
      <c r="F14" s="42">
        <v>46111</v>
      </c>
      <c r="G14" s="44"/>
      <c r="H14" s="9"/>
      <c r="I14" s="9">
        <f t="shared" si="98"/>
        <v>150</v>
      </c>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row>
    <row r="15" spans="1:191" s="2" customFormat="1" ht="31.5" customHeight="1" thickBot="1" x14ac:dyDescent="0.4">
      <c r="A15" s="23"/>
      <c r="B15" s="59" t="s">
        <v>69</v>
      </c>
      <c r="C15" s="40" t="s">
        <v>65</v>
      </c>
      <c r="D15" s="41">
        <v>0.2</v>
      </c>
      <c r="E15" s="42">
        <v>45962</v>
      </c>
      <c r="F15" s="42">
        <v>46111</v>
      </c>
      <c r="G15" s="44"/>
      <c r="H15" s="9"/>
      <c r="I15" s="9"/>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row>
    <row r="16" spans="1:191" s="2" customFormat="1" ht="31.5" customHeight="1" thickBot="1" x14ac:dyDescent="0.4">
      <c r="A16" s="24" t="s">
        <v>17</v>
      </c>
      <c r="B16" s="59" t="s">
        <v>44</v>
      </c>
      <c r="C16" s="40" t="s">
        <v>63</v>
      </c>
      <c r="D16" s="41">
        <v>1</v>
      </c>
      <c r="E16" s="42">
        <v>45976</v>
      </c>
      <c r="F16" s="42">
        <v>46000</v>
      </c>
      <c r="G16" s="44"/>
      <c r="H16" s="9"/>
      <c r="I16" s="9">
        <f t="shared" si="98"/>
        <v>25</v>
      </c>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row>
    <row r="17" spans="1:191" s="2" customFormat="1" ht="30" customHeight="1" thickBot="1" x14ac:dyDescent="0.4">
      <c r="A17" s="23"/>
      <c r="B17" s="82" t="s">
        <v>81</v>
      </c>
      <c r="C17" s="61"/>
      <c r="D17" s="62"/>
      <c r="E17" s="63"/>
      <c r="F17" s="64"/>
      <c r="G17" s="65"/>
      <c r="H17" s="9"/>
      <c r="I17" s="9" t="str">
        <f t="shared" si="98"/>
        <v/>
      </c>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row>
    <row r="18" spans="1:191" s="2" customFormat="1" ht="30" customHeight="1" thickBot="1" x14ac:dyDescent="0.4">
      <c r="A18" s="23"/>
      <c r="B18" s="66" t="s">
        <v>57</v>
      </c>
      <c r="C18" s="67"/>
      <c r="D18" s="68"/>
      <c r="E18" s="69"/>
      <c r="F18" s="70"/>
      <c r="G18" s="71"/>
      <c r="H18" s="9"/>
      <c r="I18" s="9" t="str">
        <f t="shared" si="98"/>
        <v/>
      </c>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row>
    <row r="19" spans="1:191" s="2" customFormat="1" ht="30" customHeight="1" thickBot="1" x14ac:dyDescent="0.4">
      <c r="A19" s="23"/>
      <c r="B19" s="57" t="s">
        <v>46</v>
      </c>
      <c r="C19" s="45" t="s">
        <v>66</v>
      </c>
      <c r="D19" s="46"/>
      <c r="E19" s="47"/>
      <c r="F19" s="47"/>
      <c r="G19" s="47"/>
      <c r="H19" s="9"/>
      <c r="I19" s="9" t="str">
        <f t="shared" si="98"/>
        <v/>
      </c>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row>
    <row r="20" spans="1:191" s="2" customFormat="1" ht="30" customHeight="1" thickBot="1" x14ac:dyDescent="0.4">
      <c r="A20" s="23" t="s">
        <v>18</v>
      </c>
      <c r="B20" s="57" t="s">
        <v>47</v>
      </c>
      <c r="C20" s="45" t="s">
        <v>66</v>
      </c>
      <c r="D20" s="46"/>
      <c r="E20" s="47"/>
      <c r="F20" s="47"/>
      <c r="G20" s="48"/>
      <c r="H20" s="9"/>
      <c r="I20" s="9" t="str">
        <f t="shared" si="98"/>
        <v/>
      </c>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row>
    <row r="21" spans="1:191" s="2" customFormat="1" ht="30" customHeight="1" thickBot="1" x14ac:dyDescent="0.4">
      <c r="A21" s="23"/>
      <c r="B21" s="57" t="s">
        <v>49</v>
      </c>
      <c r="C21" s="45" t="s">
        <v>66</v>
      </c>
      <c r="D21" s="46"/>
      <c r="E21" s="47"/>
      <c r="F21" s="47"/>
      <c r="G21" s="47"/>
      <c r="H21" s="9"/>
      <c r="I21" s="9" t="str">
        <f t="shared" si="98"/>
        <v/>
      </c>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row>
    <row r="22" spans="1:191" s="2" customFormat="1" ht="30" customHeight="1" thickBot="1" x14ac:dyDescent="0.4">
      <c r="A22" s="23"/>
      <c r="B22" s="57" t="s">
        <v>48</v>
      </c>
      <c r="C22" s="45" t="s">
        <v>65</v>
      </c>
      <c r="D22" s="46"/>
      <c r="E22" s="47"/>
      <c r="F22" s="47"/>
      <c r="G22" s="47"/>
      <c r="H22" s="9"/>
      <c r="I22" s="9" t="str">
        <f t="shared" si="98"/>
        <v/>
      </c>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row>
    <row r="23" spans="1:191" s="2" customFormat="1" ht="30" customHeight="1" thickBot="1" x14ac:dyDescent="0.4">
      <c r="A23" s="23"/>
      <c r="B23" s="83" t="s">
        <v>58</v>
      </c>
      <c r="C23" s="84"/>
      <c r="D23" s="85"/>
      <c r="E23" s="86"/>
      <c r="F23" s="86"/>
      <c r="G23" s="87"/>
      <c r="H23" s="9"/>
      <c r="I23" s="9"/>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row>
    <row r="24" spans="1:191" s="2" customFormat="1" ht="30" customHeight="1" thickBot="1" x14ac:dyDescent="0.4">
      <c r="A24" s="23" t="s">
        <v>19</v>
      </c>
      <c r="B24" s="58" t="s">
        <v>50</v>
      </c>
      <c r="C24" s="49" t="s">
        <v>68</v>
      </c>
      <c r="D24" s="50"/>
      <c r="E24" s="51"/>
      <c r="F24" s="51"/>
      <c r="G24" s="51"/>
      <c r="H24" s="9"/>
      <c r="I24" s="9" t="str">
        <f t="shared" si="98"/>
        <v/>
      </c>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row>
    <row r="25" spans="1:191" s="2" customFormat="1" ht="30" customHeight="1" thickBot="1" x14ac:dyDescent="0.4">
      <c r="A25" s="23" t="s">
        <v>20</v>
      </c>
      <c r="B25" s="58" t="s">
        <v>48</v>
      </c>
      <c r="C25" s="49" t="s">
        <v>65</v>
      </c>
      <c r="D25" s="50"/>
      <c r="E25" s="51"/>
      <c r="F25" s="51"/>
      <c r="G25" s="51"/>
      <c r="H25" s="9"/>
      <c r="I25" s="9" t="s">
        <v>21</v>
      </c>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row>
    <row r="26" spans="1:191" s="2" customFormat="1" ht="30" customHeight="1" thickBot="1" x14ac:dyDescent="0.4">
      <c r="A26" s="23"/>
      <c r="B26" s="72" t="s">
        <v>59</v>
      </c>
      <c r="C26" s="73"/>
      <c r="D26" s="74"/>
      <c r="E26" s="75"/>
      <c r="F26" s="75"/>
      <c r="G26" s="76"/>
      <c r="H26" s="9"/>
      <c r="I26" s="9"/>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row>
    <row r="27" spans="1:191" s="2" customFormat="1" ht="30" customHeight="1" thickBot="1" x14ac:dyDescent="0.4">
      <c r="A27" s="23"/>
      <c r="B27" s="59" t="s">
        <v>51</v>
      </c>
      <c r="C27" s="40" t="s">
        <v>67</v>
      </c>
      <c r="D27" s="41"/>
      <c r="E27" s="42"/>
      <c r="F27" s="42"/>
      <c r="G27" s="44"/>
      <c r="H27" s="9"/>
      <c r="I27" s="9"/>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row>
    <row r="28" spans="1:191" s="2" customFormat="1" ht="30" customHeight="1" thickBot="1" x14ac:dyDescent="0.4">
      <c r="A28" s="23"/>
      <c r="B28" s="59" t="s">
        <v>52</v>
      </c>
      <c r="C28" s="40" t="s">
        <v>67</v>
      </c>
      <c r="D28" s="41"/>
      <c r="E28" s="42"/>
      <c r="F28" s="42"/>
      <c r="G28" s="44"/>
      <c r="H28" s="9"/>
      <c r="I28" s="9"/>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row>
    <row r="29" spans="1:191" s="2" customFormat="1" ht="30" customHeight="1" thickBot="1" x14ac:dyDescent="0.4">
      <c r="A29" s="23"/>
      <c r="B29" s="59" t="s">
        <v>53</v>
      </c>
      <c r="C29" s="40" t="s">
        <v>67</v>
      </c>
      <c r="D29" s="41"/>
      <c r="E29" s="42"/>
      <c r="F29" s="42"/>
      <c r="G29" s="42"/>
      <c r="H29" s="9"/>
      <c r="I29" s="9"/>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c r="FZ29" s="10"/>
      <c r="GA29" s="10"/>
      <c r="GB29" s="10"/>
      <c r="GC29" s="10"/>
      <c r="GD29" s="10"/>
      <c r="GE29" s="10"/>
      <c r="GF29" s="10"/>
      <c r="GG29" s="10"/>
      <c r="GH29" s="10"/>
      <c r="GI29" s="10"/>
    </row>
    <row r="30" spans="1:191" s="2" customFormat="1" ht="30" customHeight="1" thickBot="1" x14ac:dyDescent="0.4">
      <c r="A30" s="23"/>
      <c r="B30" s="59" t="s">
        <v>54</v>
      </c>
      <c r="C30" s="40" t="s">
        <v>67</v>
      </c>
      <c r="D30" s="41"/>
      <c r="E30" s="42"/>
      <c r="F30" s="42"/>
      <c r="G30" s="42"/>
      <c r="H30" s="9"/>
      <c r="I30" s="9"/>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row>
    <row r="31" spans="1:191" s="2" customFormat="1" ht="30" customHeight="1" thickBot="1" x14ac:dyDescent="0.4">
      <c r="A31" s="23"/>
      <c r="B31" s="59" t="s">
        <v>55</v>
      </c>
      <c r="C31" s="40" t="s">
        <v>67</v>
      </c>
      <c r="D31" s="41"/>
      <c r="E31" s="42"/>
      <c r="F31" s="42"/>
      <c r="G31" s="42"/>
      <c r="H31" s="9"/>
      <c r="I31" s="9"/>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row>
    <row r="32" spans="1:191" s="2" customFormat="1" ht="30" customHeight="1" thickBot="1" x14ac:dyDescent="0.4">
      <c r="A32" s="23"/>
      <c r="B32" s="59" t="s">
        <v>56</v>
      </c>
      <c r="C32" s="40" t="s">
        <v>67</v>
      </c>
      <c r="D32" s="41"/>
      <c r="E32" s="42"/>
      <c r="F32" s="42"/>
      <c r="G32" s="42"/>
      <c r="H32" s="9"/>
      <c r="I32" s="9"/>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row>
    <row r="33" spans="1:191" s="2" customFormat="1" ht="30" customHeight="1" thickBot="1" x14ac:dyDescent="0.4">
      <c r="A33" s="23"/>
      <c r="B33" s="59" t="s">
        <v>48</v>
      </c>
      <c r="C33" s="40" t="s">
        <v>65</v>
      </c>
      <c r="D33" s="41"/>
      <c r="E33" s="42"/>
      <c r="F33" s="42"/>
      <c r="G33" s="44"/>
      <c r="H33" s="9"/>
      <c r="I33" s="9"/>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row>
    <row r="34" spans="1:191" s="2" customFormat="1" ht="30" customHeight="1" thickBot="1" x14ac:dyDescent="0.4">
      <c r="A34" s="23"/>
      <c r="B34" s="77" t="s">
        <v>62</v>
      </c>
      <c r="C34" s="78"/>
      <c r="D34" s="79"/>
      <c r="E34" s="80"/>
      <c r="F34" s="80"/>
      <c r="G34" s="81"/>
      <c r="H34" s="9"/>
      <c r="I34" s="9"/>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row>
    <row r="35" spans="1:191" s="2" customFormat="1" ht="30" customHeight="1" thickBot="1" x14ac:dyDescent="0.4">
      <c r="A35" s="23"/>
      <c r="B35" s="52" t="s">
        <v>60</v>
      </c>
      <c r="C35" s="53" t="s">
        <v>63</v>
      </c>
      <c r="D35" s="54"/>
      <c r="E35" s="55"/>
      <c r="F35" s="55"/>
      <c r="G35" s="56"/>
      <c r="H35" s="9"/>
      <c r="I35" s="9"/>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row>
    <row r="36" spans="1:191" s="2" customFormat="1" ht="30" customHeight="1" thickBot="1" x14ac:dyDescent="0.4">
      <c r="A36" s="23"/>
      <c r="B36" s="52" t="s">
        <v>61</v>
      </c>
      <c r="C36" s="53" t="s">
        <v>65</v>
      </c>
      <c r="D36" s="54"/>
      <c r="E36" s="55"/>
      <c r="F36" s="55"/>
      <c r="G36" s="55"/>
      <c r="H36" s="9"/>
      <c r="I36" s="9"/>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row>
    <row r="37" spans="1:191" s="2" customFormat="1" ht="30" customHeight="1" thickBot="1" x14ac:dyDescent="0.4">
      <c r="A37" s="23"/>
      <c r="B37" s="52" t="s">
        <v>48</v>
      </c>
      <c r="C37" s="53" t="s">
        <v>65</v>
      </c>
      <c r="D37" s="54"/>
      <c r="E37" s="55"/>
      <c r="F37" s="55"/>
      <c r="G37" s="55"/>
      <c r="H37" s="9"/>
      <c r="I37" s="9"/>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row>
    <row r="38" spans="1:191" s="2" customFormat="1" ht="30" customHeight="1" thickBot="1" x14ac:dyDescent="0.4">
      <c r="A38" s="23"/>
      <c r="B38" s="60" t="s">
        <v>73</v>
      </c>
      <c r="C38" s="61" t="s">
        <v>70</v>
      </c>
      <c r="D38" s="62"/>
      <c r="E38" s="63"/>
      <c r="F38" s="64"/>
      <c r="G38" s="65"/>
      <c r="H38" s="9"/>
      <c r="I38" s="9" t="str">
        <f t="shared" ref="I38:I41" si="99">IF(OR(ISBLANK(task_start),ISBLANK(task_end)),"",task_end-task_start+1)</f>
        <v/>
      </c>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row>
    <row r="39" spans="1:191" s="2" customFormat="1" ht="30" customHeight="1" thickBot="1" x14ac:dyDescent="0.4">
      <c r="A39" s="23"/>
      <c r="B39" s="66" t="s">
        <v>74</v>
      </c>
      <c r="C39" s="67"/>
      <c r="D39" s="68"/>
      <c r="E39" s="69"/>
      <c r="F39" s="70"/>
      <c r="G39" s="71"/>
      <c r="H39" s="9"/>
      <c r="I39" s="9" t="str">
        <f t="shared" si="99"/>
        <v/>
      </c>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row>
    <row r="40" spans="1:191" s="2" customFormat="1" ht="30" customHeight="1" thickBot="1" x14ac:dyDescent="0.4">
      <c r="A40" s="23"/>
      <c r="B40" s="57" t="s">
        <v>71</v>
      </c>
      <c r="C40" s="45" t="s">
        <v>63</v>
      </c>
      <c r="D40" s="46"/>
      <c r="E40" s="47"/>
      <c r="F40" s="47"/>
      <c r="G40" s="47"/>
      <c r="H40" s="9"/>
      <c r="I40" s="9" t="str">
        <f t="shared" si="99"/>
        <v/>
      </c>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row>
    <row r="41" spans="1:191" s="2" customFormat="1" ht="30" customHeight="1" thickBot="1" x14ac:dyDescent="0.4">
      <c r="A41" s="23" t="s">
        <v>18</v>
      </c>
      <c r="B41" s="57" t="s">
        <v>72</v>
      </c>
      <c r="C41" s="45" t="s">
        <v>65</v>
      </c>
      <c r="D41" s="46"/>
      <c r="E41" s="47"/>
      <c r="F41" s="47"/>
      <c r="G41" s="48"/>
      <c r="H41" s="9"/>
      <c r="I41" s="9" t="str">
        <f t="shared" si="99"/>
        <v/>
      </c>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row>
    <row r="42" spans="1:191" s="2" customFormat="1" ht="30" customHeight="1" thickBot="1" x14ac:dyDescent="0.4">
      <c r="A42" s="23"/>
      <c r="B42" s="72" t="s">
        <v>75</v>
      </c>
      <c r="C42" s="73"/>
      <c r="D42" s="74"/>
      <c r="E42" s="75"/>
      <c r="F42" s="75"/>
      <c r="G42" s="76"/>
      <c r="H42" s="9"/>
      <c r="I42" s="9"/>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row>
    <row r="43" spans="1:191" s="2" customFormat="1" ht="30" customHeight="1" thickBot="1" x14ac:dyDescent="0.4">
      <c r="A43" s="23"/>
      <c r="B43" s="59" t="s">
        <v>76</v>
      </c>
      <c r="C43" s="40" t="s">
        <v>63</v>
      </c>
      <c r="D43" s="41"/>
      <c r="E43" s="42"/>
      <c r="F43" s="42"/>
      <c r="G43" s="44"/>
      <c r="H43" s="9"/>
      <c r="I43" s="9"/>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row>
    <row r="44" spans="1:191" s="2" customFormat="1" ht="30" customHeight="1" thickBot="1" x14ac:dyDescent="0.4">
      <c r="A44" s="23"/>
      <c r="B44" s="59" t="s">
        <v>77</v>
      </c>
      <c r="C44" s="40" t="s">
        <v>65</v>
      </c>
      <c r="D44" s="41"/>
      <c r="E44" s="42"/>
      <c r="F44" s="42"/>
      <c r="G44" s="44"/>
      <c r="H44" s="9"/>
      <c r="I44" s="9"/>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row>
    <row r="45" spans="1:191" s="2" customFormat="1" ht="30" customHeight="1" thickBot="1" x14ac:dyDescent="0.4">
      <c r="A45" s="23"/>
      <c r="B45" s="59" t="s">
        <v>78</v>
      </c>
      <c r="C45" s="40" t="s">
        <v>65</v>
      </c>
      <c r="D45" s="41"/>
      <c r="E45" s="42"/>
      <c r="F45" s="42"/>
      <c r="G45" s="42"/>
      <c r="H45" s="9"/>
      <c r="I45" s="9"/>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row>
    <row r="46" spans="1:191" s="2" customFormat="1" ht="30" customHeight="1" thickBot="1" x14ac:dyDescent="0.4">
      <c r="A46" s="23"/>
      <c r="B46" s="59" t="s">
        <v>79</v>
      </c>
      <c r="C46" s="40"/>
      <c r="D46" s="41"/>
      <c r="E46" s="42"/>
      <c r="F46" s="42"/>
      <c r="G46" s="42"/>
      <c r="H46" s="9"/>
      <c r="I46" s="9"/>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row>
    <row r="47" spans="1:191" s="2" customFormat="1" ht="30" customHeight="1" thickBot="1" x14ac:dyDescent="0.4">
      <c r="A47" s="23"/>
      <c r="B47" s="77" t="s">
        <v>80</v>
      </c>
      <c r="C47" s="78"/>
      <c r="D47" s="79"/>
      <c r="E47" s="80"/>
      <c r="F47" s="80"/>
      <c r="G47" s="81"/>
      <c r="H47" s="9"/>
      <c r="I47" s="9"/>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row>
    <row r="48" spans="1:191" s="2" customFormat="1" ht="30" customHeight="1" thickBot="1" x14ac:dyDescent="0.4">
      <c r="A48" s="23"/>
      <c r="B48" s="52"/>
      <c r="C48" s="53"/>
      <c r="D48" s="54"/>
      <c r="E48" s="55"/>
      <c r="F48" s="55"/>
      <c r="G48" s="56"/>
      <c r="H48" s="9"/>
      <c r="I48" s="9"/>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row>
    <row r="49" spans="1:191" s="2" customFormat="1" ht="30" customHeight="1" thickBot="1" x14ac:dyDescent="0.4">
      <c r="A49" s="23"/>
      <c r="B49" s="52"/>
      <c r="C49" s="53"/>
      <c r="D49" s="54"/>
      <c r="E49" s="55"/>
      <c r="F49" s="55"/>
      <c r="G49" s="55"/>
      <c r="H49" s="9"/>
      <c r="I49" s="9"/>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row>
    <row r="50" spans="1:191" s="2" customFormat="1" ht="30" customHeight="1" thickBot="1" x14ac:dyDescent="0.4">
      <c r="A50" s="23"/>
      <c r="B50" s="52"/>
      <c r="C50" s="53"/>
      <c r="D50" s="54"/>
      <c r="E50" s="55"/>
      <c r="F50" s="55"/>
      <c r="G50" s="55"/>
      <c r="H50" s="9"/>
      <c r="I50" s="9"/>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row>
  </sheetData>
  <mergeCells count="28">
    <mergeCell ref="E5:F5"/>
    <mergeCell ref="J6:P6"/>
    <mergeCell ref="Q6:W6"/>
    <mergeCell ref="X6:AD6"/>
    <mergeCell ref="AE6:AK6"/>
    <mergeCell ref="CB6:CH6"/>
    <mergeCell ref="CI6:CO6"/>
    <mergeCell ref="CP6:CV6"/>
    <mergeCell ref="AL6:AR6"/>
    <mergeCell ref="AS6:AY6"/>
    <mergeCell ref="AZ6:BF6"/>
    <mergeCell ref="BG6:BM6"/>
    <mergeCell ref="FO6:FU6"/>
    <mergeCell ref="FV6:GB6"/>
    <mergeCell ref="GC6:GI6"/>
    <mergeCell ref="B3:C3"/>
    <mergeCell ref="EF6:EL6"/>
    <mergeCell ref="EM6:ES6"/>
    <mergeCell ref="ET6:EZ6"/>
    <mergeCell ref="FA6:FG6"/>
    <mergeCell ref="FH6:FN6"/>
    <mergeCell ref="CW6:DC6"/>
    <mergeCell ref="DD6:DJ6"/>
    <mergeCell ref="DK6:DQ6"/>
    <mergeCell ref="DR6:DX6"/>
    <mergeCell ref="DY6:EE6"/>
    <mergeCell ref="BN6:BT6"/>
    <mergeCell ref="BU6:CA6"/>
  </mergeCells>
  <conditionalFormatting sqref="D9:D50">
    <cfRule type="dataBar" priority="3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7:GI50">
    <cfRule type="expression" dxfId="2" priority="3">
      <formula>AND(TODAY()&gt;=J$7,TODAY()&lt;K$7)</formula>
    </cfRule>
  </conditionalFormatting>
  <conditionalFormatting sqref="J9:GI50">
    <cfRule type="expression" dxfId="1" priority="1">
      <formula>AND(task_start&lt;=J$7,ROUNDDOWN((task_end-task_start+1)*task_progress,0)+task_start-1&gt;=J$7)</formula>
    </cfRule>
    <cfRule type="expression" dxfId="0" priority="2" stopIfTrue="1">
      <formula>AND(task_end&gt;=J$7,task_start&lt;K$7)</formula>
    </cfRule>
  </conditionalFormatting>
  <dataValidations count="1">
    <dataValidation type="whole" operator="greaterThanOrEqual" allowBlank="1" showInputMessage="1" promptTitle="Display Week" prompt="Changing this number will scroll the Gantt Chart view." sqref="E6" xr:uid="{00000000-0002-0000-0000-000000000000}">
      <formula1>1</formula1>
    </dataValidation>
  </dataValidations>
  <printOptions horizontalCentered="1"/>
  <pageMargins left="0.35" right="0.35" top="0.35" bottom="0.5" header="0.3" footer="0.3"/>
  <pageSetup paperSize="284" scale="72"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D9:D50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c5d725b-f84a-4863-85e4-778824985d8b">
      <Terms xmlns="http://schemas.microsoft.com/office/infopath/2007/PartnerControls"/>
    </lcf76f155ced4ddcb4097134ff3c332f>
    <TaxCatchAll xmlns="2d9794d8-e716-42fd-a978-7e593b251bc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91C40649E0DA40BB2DCE5463429575" ma:contentTypeVersion="11" ma:contentTypeDescription="Create a new document." ma:contentTypeScope="" ma:versionID="88ab8eeaac50ba8d720b84a82c3eb5d4">
  <xsd:schema xmlns:xsd="http://www.w3.org/2001/XMLSchema" xmlns:xs="http://www.w3.org/2001/XMLSchema" xmlns:p="http://schemas.microsoft.com/office/2006/metadata/properties" xmlns:ns2="8c5d725b-f84a-4863-85e4-778824985d8b" xmlns:ns3="2d9794d8-e716-42fd-a978-7e593b251bc1" targetNamespace="http://schemas.microsoft.com/office/2006/metadata/properties" ma:root="true" ma:fieldsID="a222b2af5c576f3acacc7396b91a9bf7" ns2:_="" ns3:_="">
    <xsd:import namespace="8c5d725b-f84a-4863-85e4-778824985d8b"/>
    <xsd:import namespace="2d9794d8-e716-42fd-a978-7e593b251bc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5d725b-f84a-4863-85e4-778824985d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9794d8-e716-42fd-a978-7e593b251b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5b8953-9b7f-476a-bfd7-5ea63c619e61}" ma:internalName="TaxCatchAll" ma:showField="CatchAllData" ma:web="2d9794d8-e716-42fd-a978-7e593b251b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schemas.microsoft.com/office/2006/documentManagement/types"/>
    <ds:schemaRef ds:uri="http://www.w3.org/XML/1998/namespace"/>
    <ds:schemaRef ds:uri="2d9794d8-e716-42fd-a978-7e593b251bc1"/>
    <ds:schemaRef ds:uri="http://schemas.microsoft.com/office/2006/metadata/properties"/>
    <ds:schemaRef ds:uri="8c5d725b-f84a-4863-85e4-778824985d8b"/>
    <ds:schemaRef ds:uri="http://purl.org/dc/dcmitype/"/>
    <ds:schemaRef ds:uri="http://purl.org/dc/elements/1.1/"/>
    <ds:schemaRef ds:uri="http://purl.org/dc/term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34E6C240-DCDF-4384-8021-301A72E98C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5d725b-f84a-4863-85e4-778824985d8b"/>
    <ds:schemaRef ds:uri="2d9794d8-e716-42fd-a978-7e593b251b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About</vt: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2025-12-16T17:05:42Z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0x010100F491C40649E0DA40BB2DCE5463429575</vt:lpwstr>
  </property>
  <property fmtid="{D5CDD505-2E9C-101B-9397-08002B2CF9AE}" pid="3" name="MediaServiceImageTags">
    <vt:lpwstr/>
  </property>
</Properties>
</file>