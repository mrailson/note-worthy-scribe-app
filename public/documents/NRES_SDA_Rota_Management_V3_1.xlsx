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actice Allocations" sheetId="2" state="visible" r:id="rId4"/>
    <sheet name="Room Capacity" sheetId="3" state="visible" r:id="rId5"/>
    <sheet name="Weekly Rota" sheetId="4" state="visible" r:id="rId6"/>
    <sheet name="Buy-Back Tracker" sheetId="5" state="visible" r:id="rId7"/>
    <sheet name="Cash Flow" sheetId="6" state="visible" r:id="rId8"/>
    <sheet name="Compliance Tracker" sheetId="7" state="visible" r:id="rId9"/>
    <sheet name="Workforce" sheetId="8" state="visible" r:id="rId10"/>
    <sheet name="Practice Contacts" sheetId="9" state="visible" r:id="rId11"/>
    <sheet name="Monthly Rota" sheetId="10" state="visible" r:id="rId12"/>
    <sheet name="Audit Log" sheetId="11" state="visible" r:id="rId13"/>
    <sheet name="Parks" sheetId="12" state="visible" r:id="rId14"/>
    <sheet name="Brackley" sheetId="13" state="visible" r:id="rId15"/>
    <sheet name="Springfield" sheetId="14" state="visible" r:id="rId16"/>
    <sheet name="Towcester" sheetId="15" state="visible" r:id="rId17"/>
    <sheet name="Bugbrooke" sheetId="16" state="visible" r:id="rId18"/>
    <sheet name="Brook" sheetId="17" state="visible" r:id="rId19"/>
    <sheet name="Denton" sheetId="18" state="visible" r:id="rId20"/>
    <sheet name="DNA Tracking" sheetId="19" state="visible" r:id="rId21"/>
    <sheet name="Absence Tracker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5" authorId="0">
      <text>
        <r>
          <rPr>
            <sz val="10"/>
            <rFont val="Arial"/>
            <family val="2"/>
          </rPr>
          <t xml:space="preserve">Chloe proposes ACP at £28.15/hr × 24hrs/wk × 52wks.
Base: £35,131.20 + 29.38% on-costs = £45,452.75
Budget remaining after GP + ACP: ~£234
Converted to session rate for consistency.</t>
        </r>
      </text>
    </comment>
    <comment ref="G44" authorId="0">
      <text>
        <r>
          <rPr>
            <sz val="10"/>
            <rFont val="Arial"/>
            <family val="2"/>
          </rPr>
          <t xml:space="preserve">Chloe proposes 12 sessions at £12K/session.
Base: £144,000 + 29.38% on-costs = £186,307.20
Leaves £45,686 for ACP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8" authorId="0">
      <text>
        <r>
          <rPr>
            <sz val="10"/>
            <rFont val="Arial"/>
            <family val="2"/>
          </rPr>
          <t xml:space="preserve">Buy-back becomes possible once new GP is recruited.
Denton currently provides 204-303 SDA appts/wk vs ~96 target.
Massive surplus enables significant buy-back claim.</t>
        </r>
      </text>
    </comment>
    <comment ref="G44" authorId="0">
      <text>
        <r>
          <rPr>
            <sz val="10"/>
            <rFont val="Arial"/>
            <family val="2"/>
          </rPr>
          <t xml:space="preserve">Nicola proposes £11K-£12K DOE.
£11K = £113,854 total inc on-costs (leaves £10,555 headroom)
£12K = £124,205 total inc on-costs (leaves £204 headroom)
New recruit on less than current salarieds (£12,700/session)</t>
        </r>
      </text>
    </comment>
  </commentList>
</comments>
</file>

<file path=xl/sharedStrings.xml><?xml version="1.0" encoding="utf-8"?>
<sst xmlns="http://schemas.openxmlformats.org/spreadsheetml/2006/main" count="1613" uniqueCount="474">
  <si>
    <t xml:space="preserve">NRES SDA ROTA MANAGEMENT SYSTEM — KEY ASSUMPTIONS</t>
  </si>
  <si>
    <t xml:space="preserve">Yellow cells are adjustable inputs — changes cascade to all tabs via formulas</t>
  </si>
  <si>
    <t xml:space="preserve">CONTRACT PARAMETERS</t>
  </si>
  <si>
    <t xml:space="preserve">Parameter</t>
  </si>
  <si>
    <t xml:space="preserve">Value</t>
  </si>
  <si>
    <t xml:space="preserve">Unit</t>
  </si>
  <si>
    <t xml:space="preserve">Source / Notes</t>
  </si>
  <si>
    <t xml:space="preserve">Per-patient funding rate</t>
  </si>
  <si>
    <t xml:space="preserve">£/patient/year</t>
  </si>
  <si>
    <t xml:space="preserve">ICB Enhanced Service spec</t>
  </si>
  <si>
    <t xml:space="preserve">Total registered patients</t>
  </si>
  <si>
    <t xml:space="preserve">patients</t>
  </si>
  <si>
    <t xml:space="preserve">Feb 2026 list sizes — adjustable below</t>
  </si>
  <si>
    <t xml:space="preserve">Annual contract value</t>
  </si>
  <si>
    <t xml:space="preserve">£</t>
  </si>
  <si>
    <t xml:space="preserve">Auto-calculated</t>
  </si>
  <si>
    <t xml:space="preserve">Contract start date</t>
  </si>
  <si>
    <t xml:space="preserve">01/04/2026</t>
  </si>
  <si>
    <t xml:space="preserve">date</t>
  </si>
  <si>
    <t xml:space="preserve">Financial year start</t>
  </si>
  <si>
    <t xml:space="preserve">Non-winter weeks</t>
  </si>
  <si>
    <t xml:space="preserve">weeks</t>
  </si>
  <si>
    <t xml:space="preserve">Standard period</t>
  </si>
  <si>
    <t xml:space="preserve">Winter weeks</t>
  </si>
  <si>
    <t xml:space="preserve">Enhanced delivery Nov–Feb</t>
  </si>
  <si>
    <t xml:space="preserve">Total operating weeks</t>
  </si>
  <si>
    <t xml:space="preserve">Non-winter appt rate</t>
  </si>
  <si>
    <t xml:space="preserve">per 1,000/wk</t>
  </si>
  <si>
    <t xml:space="preserve">ICB spec minimum</t>
  </si>
  <si>
    <t xml:space="preserve">Winter appt rate</t>
  </si>
  <si>
    <t xml:space="preserve">F2F / Remote split</t>
  </si>
  <si>
    <t xml:space="preserve">% each</t>
  </si>
  <si>
    <t xml:space="preserve">50% remote </t>
  </si>
  <si>
    <t xml:space="preserve">Overhead / buffer %</t>
  </si>
  <si>
    <t xml:space="preserve">% of allocation</t>
  </si>
  <si>
    <t xml:space="preserve">25% for overheads</t>
  </si>
  <si>
    <t xml:space="preserve">On-costs %</t>
  </si>
  <si>
    <t xml:space="preserve">%</t>
  </si>
  <si>
    <t xml:space="preserve">Employer NI + pension</t>
  </si>
  <si>
    <t xml:space="preserve">Monthly instalments</t>
  </si>
  <si>
    <t xml:space="preserve">per year</t>
  </si>
  <si>
    <t xml:space="preserve">Equal 1/12th payments</t>
  </si>
  <si>
    <t xml:space="preserve">STAFF TYPE SESSION CONFIGURATION (BMA Standard Session = 4hrs 10mins / 250 mins)</t>
  </si>
  <si>
    <t xml:space="preserve">Staff Type</t>
  </si>
  <si>
    <t xml:space="preserve">Appts/Session (F2F)</t>
  </si>
  <si>
    <t xml:space="preserve">Appt Duration F2F (mins)</t>
  </si>
  <si>
    <t xml:space="preserve">Appts/Session (Remote)</t>
  </si>
  <si>
    <t xml:space="preserve">Appt Duration Remote (mins)</t>
  </si>
  <si>
    <t xml:space="preserve">Buy-Back Rate/Session (£)</t>
  </si>
  <si>
    <t xml:space="preserve">GP</t>
  </si>
  <si>
    <t xml:space="preserve">ACP</t>
  </si>
  <si>
    <t xml:space="preserve">ANP</t>
  </si>
  <si>
    <t xml:space="preserve">Additional roles (Paramedic, Clinical Pharmacist, PA, FCP, MHP): configurable in system — same defaults (12 appts × 15 mins). Buy-back rates TBC.</t>
  </si>
  <si>
    <t xml:space="preserve">PRACTICE LIST SIZES (ADJUSTABLE — UPDATE QUARTERLY)</t>
  </si>
  <si>
    <t xml:space="preserve">Practice</t>
  </si>
  <si>
    <t xml:space="preserve">List Size</t>
  </si>
  <si>
    <t xml:space="preserve">Hub/Spoke</t>
  </si>
  <si>
    <t xml:space="preserve">Clinical System</t>
  </si>
  <si>
    <t xml:space="preserve">% of Total</t>
  </si>
  <si>
    <t xml:space="preserve">The Parks MC</t>
  </si>
  <si>
    <t xml:space="preserve">HUB</t>
  </si>
  <si>
    <t xml:space="preserve">SystmOne</t>
  </si>
  <si>
    <t xml:space="preserve">Brackley MC</t>
  </si>
  <si>
    <t xml:space="preserve">Springfield Surgery</t>
  </si>
  <si>
    <t xml:space="preserve">SPOKE</t>
  </si>
  <si>
    <t xml:space="preserve">EMIS</t>
  </si>
  <si>
    <t xml:space="preserve">Towcester MC</t>
  </si>
  <si>
    <t xml:space="preserve">Bugbrooke Surgery</t>
  </si>
  <si>
    <t xml:space="preserve">Brook Health Centre</t>
  </si>
  <si>
    <t xml:space="preserve">Denton Village Surgery</t>
  </si>
  <si>
    <t xml:space="preserve">TOTAL</t>
  </si>
  <si>
    <t xml:space="preserve">MANAGEMENT &amp; PROGRAMME RATES (From 1st April 2026)</t>
  </si>
  <si>
    <t xml:space="preserve">Role</t>
  </si>
  <si>
    <t xml:space="preserve">Hourly Rate (£) Inc On Costs</t>
  </si>
  <si>
    <t xml:space="preserve">Hours/Week</t>
  </si>
  <si>
    <t xml:space="preserve">Weeks/Year</t>
  </si>
  <si>
    <t xml:space="preserve">Annual Cost </t>
  </si>
  <si>
    <t xml:space="preserve">Reclaim Method</t>
  </si>
  <si>
    <t xml:space="preserve">Senior Responsible Officer (SRO) - Dr Mark Gray</t>
  </si>
  <si>
    <t xml:space="preserve">Claimed from PML</t>
  </si>
  <si>
    <t xml:space="preserve">SNO Programme Director </t>
  </si>
  <si>
    <t xml:space="preserve">Clinical Lead - Dr Simon Ellis</t>
  </si>
  <si>
    <t xml:space="preserve">Claimed from TMC</t>
  </si>
  <si>
    <t xml:space="preserve">Managerial Lead - Amanda Palin</t>
  </si>
  <si>
    <t xml:space="preserve">Claimed from B&amp;T PCN </t>
  </si>
  <si>
    <t xml:space="preserve">Managerial Lead Support - Lucy Hibberd</t>
  </si>
  <si>
    <t xml:space="preserve">Claimed from BMP</t>
  </si>
  <si>
    <t xml:space="preserve">Digital and Estates Support - Alex Whitehead</t>
  </si>
  <si>
    <t xml:space="preserve">Claimed from The Parks</t>
  </si>
  <si>
    <t xml:space="preserve">Digital &amp; Estates Lead - Malcolm Railson </t>
  </si>
  <si>
    <t xml:space="preserve">Part of PCN Role</t>
  </si>
  <si>
    <t xml:space="preserve">SNO Admin Costs TBC</t>
  </si>
  <si>
    <t xml:space="preserve">Member Practice PM Meeting Attendance Reimbursements</t>
  </si>
  <si>
    <t xml:space="preserve">£50 per hour</t>
  </si>
  <si>
    <t xml:space="preserve">Member Practice GP Meeting Attendance Reimbursements</t>
  </si>
  <si>
    <t xml:space="preserve">£100 per hour</t>
  </si>
  <si>
    <t xml:space="preserve">NRES PRACTICE ALLOCATIONS &amp; WEEKLY TARGETS</t>
  </si>
  <si>
    <t xml:space="preserve">All values formula-driven from Assumptions tab — update list sizes there</t>
  </si>
  <si>
    <t xml:space="preserve">Annual Allocation (£)</t>
  </si>
  <si>
    <t xml:space="preserve">Monthly Instalment (£)</t>
  </si>
  <si>
    <t xml:space="preserve">Recruit Budget 75% (£)</t>
  </si>
  <si>
    <t xml:space="preserve">Wkly Min (Non-Winter)</t>
  </si>
  <si>
    <t xml:space="preserve">F2F (50%)</t>
  </si>
  <si>
    <t xml:space="preserve">Remote (50%)</t>
  </si>
  <si>
    <t xml:space="preserve">Wkly Min (Winter)</t>
  </si>
  <si>
    <t xml:space="preserve">Annual Target (Appts)</t>
  </si>
  <si>
    <t xml:space="preserve">NEIGHBOURHOOD TOTAL</t>
  </si>
  <si>
    <t xml:space="preserve">From Michael Chapman 19.02.26</t>
  </si>
  <si>
    <t xml:space="preserve">K Code</t>
  </si>
  <si>
    <t xml:space="preserve">Practice Name</t>
  </si>
  <si>
    <t xml:space="preserve">Actual List (April 25)</t>
  </si>
  <si>
    <t xml:space="preserve">Actual List (Jan 26)</t>
  </si>
  <si>
    <t xml:space="preserve">Variance</t>
  </si>
  <si>
    <t xml:space="preserve">K83018</t>
  </si>
  <si>
    <t xml:space="preserve">K83022</t>
  </si>
  <si>
    <t xml:space="preserve">Paulerspury Surgery</t>
  </si>
  <si>
    <t xml:space="preserve">Towcester Medical Centre</t>
  </si>
  <si>
    <t xml:space="preserve">K83049</t>
  </si>
  <si>
    <t xml:space="preserve">Brackley Medical Centre</t>
  </si>
  <si>
    <t xml:space="preserve">K83052</t>
  </si>
  <si>
    <t xml:space="preserve">Grange Park</t>
  </si>
  <si>
    <t xml:space="preserve">Hanslope Surgery</t>
  </si>
  <si>
    <t xml:space="preserve">Roade Medical Centre</t>
  </si>
  <si>
    <t xml:space="preserve">The Parks Medical Practice </t>
  </si>
  <si>
    <t xml:space="preserve">K83068</t>
  </si>
  <si>
    <t xml:space="preserve">K83070</t>
  </si>
  <si>
    <t xml:space="preserve">K83620</t>
  </si>
  <si>
    <t xml:space="preserve">Silverstone Surgery</t>
  </si>
  <si>
    <t xml:space="preserve">The Brook Health Centre (Towcester)</t>
  </si>
  <si>
    <t xml:space="preserve">Neighbourhood list size</t>
  </si>
  <si>
    <t xml:space="preserve">Additional appointments required P/W</t>
  </si>
  <si>
    <t xml:space="preserve">Additional appointments required P/W serge</t>
  </si>
  <si>
    <t xml:space="preserve">New Models of Care Total Amount</t>
  </si>
  <si>
    <t xml:space="preserve">AVAILABLE CLINICAL ROOMS BY DAY &amp; SESSION (APPOINTMENTS)</t>
  </si>
  <si>
    <t xml:space="preserve">Yellow cells are editable — update as estate changes. 1 session = 12 appointments (default)</t>
  </si>
  <si>
    <t xml:space="preserve">Session</t>
  </si>
  <si>
    <t xml:space="preserve">The Parks (4 sites)</t>
  </si>
  <si>
    <t xml:space="preserve">Springfield</t>
  </si>
  <si>
    <t xml:space="preserve">Brackley</t>
  </si>
  <si>
    <t xml:space="preserve">Brook</t>
  </si>
  <si>
    <t xml:space="preserve">Bugbrooke</t>
  </si>
  <si>
    <t xml:space="preserve">Denton</t>
  </si>
  <si>
    <t xml:space="preserve">Towcester</t>
  </si>
  <si>
    <t xml:space="preserve">Total</t>
  </si>
  <si>
    <t xml:space="preserve">Monday AM</t>
  </si>
  <si>
    <t xml:space="preserve">Monday PM</t>
  </si>
  <si>
    <t xml:space="preserve">Tuesday AM</t>
  </si>
  <si>
    <t xml:space="preserve">Tuesday PM</t>
  </si>
  <si>
    <t xml:space="preserve">Wednesday AM</t>
  </si>
  <si>
    <t xml:space="preserve">Wednesday PM</t>
  </si>
  <si>
    <t xml:space="preserve">Thursday AM</t>
  </si>
  <si>
    <t xml:space="preserve">Thursday PM</t>
  </si>
  <si>
    <t xml:space="preserve">Friday AM</t>
  </si>
  <si>
    <t xml:space="preserve">Friday PM</t>
  </si>
  <si>
    <t xml:space="preserve">WEEKLY TOTAL</t>
  </si>
  <si>
    <t xml:space="preserve">PRACTICE ESTATE SUMMARY</t>
  </si>
  <si>
    <t xml:space="preserve">Weekly On-Site Appts</t>
  </si>
  <si>
    <t xml:space="preserve">Non-Winter Remote Need</t>
  </si>
  <si>
    <t xml:space="preserve">Winter Remote Need</t>
  </si>
  <si>
    <t xml:space="preserve">Brook Health</t>
  </si>
  <si>
    <t xml:space="preserve">Denton Village</t>
  </si>
  <si>
    <t xml:space="preserve">CAPACITY GAP ANALYSIS</t>
  </si>
  <si>
    <t xml:space="preserve">Total on-site capacity/week</t>
  </si>
  <si>
    <t xml:space="preserve">Non-Winter target/week</t>
  </si>
  <si>
    <t xml:space="preserve">Winter target/week</t>
  </si>
  <si>
    <t xml:space="preserve">Remote needed (Non-Winter)</t>
  </si>
  <si>
    <t xml:space="preserve">Remote needed (Winter)</t>
  </si>
  <si>
    <t xml:space="preserve">WEEKLY ROTA — SDA SESSION TRACKER</t>
  </si>
  <si>
    <t xml:space="preserve">Week Number:</t>
  </si>
  <si>
    <t xml:space="preserve">Period:</t>
  </si>
  <si>
    <t xml:space="preserve">Non-Winter</t>
  </si>
  <si>
    <t xml:space="preserve">Practice Filter:</t>
  </si>
  <si>
    <t xml:space="preserve">ALL</t>
  </si>
  <si>
    <t xml:space="preserve">Day</t>
  </si>
  <si>
    <t xml:space="preserve">Staff Name</t>
  </si>
  <si>
    <t xml:space="preserve">Provision Type</t>
  </si>
  <si>
    <t xml:space="preserve">Appts</t>
  </si>
  <si>
    <t xml:space="preserve">Delivery Mode</t>
  </si>
  <si>
    <t xml:space="preserve">Location/Site</t>
  </si>
  <si>
    <t xml:space="preserve">Remote?</t>
  </si>
  <si>
    <t xml:space="preserve">Notes</t>
  </si>
  <si>
    <t xml:space="preserve">Cost Est (£)</t>
  </si>
  <si>
    <t xml:space="preserve">WEEKLY ROTA SUMMARY</t>
  </si>
  <si>
    <t xml:space="preserve">Metric</t>
  </si>
  <si>
    <t xml:space="preserve">Total sessions scheduled</t>
  </si>
  <si>
    <t xml:space="preserve">Total appointments</t>
  </si>
  <si>
    <t xml:space="preserve">New SDA appointments</t>
  </si>
  <si>
    <t xml:space="preserve">Buy-Back appointments</t>
  </si>
  <si>
    <t xml:space="preserve">Remote appointments</t>
  </si>
  <si>
    <t xml:space="preserve">F2F appointments</t>
  </si>
  <si>
    <t xml:space="preserve">Remote %</t>
  </si>
  <si>
    <t xml:space="preserve">Buy-Back %</t>
  </si>
  <si>
    <t xml:space="preserve">BUY-BACK SCHEME TRACKER — OPEN BOOK ACCOUNTING</t>
  </si>
  <si>
    <t xml:space="preserve">All buy-back applications must be approved by Dr Mark Gray (SNO). Standard GP buy-back rate: £11,000/session. Open book — visible to all practices.</t>
  </si>
  <si>
    <t xml:space="preserve">BUY-BACK APPLICATIONS</t>
  </si>
  <si>
    <t xml:space="preserve">Ref</t>
  </si>
  <si>
    <t xml:space="preserve">Staff Role</t>
  </si>
  <si>
    <t xml:space="preserve">Sessions/Wk</t>
  </si>
  <si>
    <t xml:space="preserve">Buy-Back Rate (£/session)</t>
  </si>
  <si>
    <t xml:space="preserve">Annual Cost (£)</t>
  </si>
  <si>
    <t xml:space="preserve">On-Costs %</t>
  </si>
  <si>
    <t xml:space="preserve">Total inc On-Costs (£)</t>
  </si>
  <si>
    <t xml:space="preserve">Same-Day %</t>
  </si>
  <si>
    <t xml:space="preserve">Buy-Back Claim Value (£)</t>
  </si>
  <si>
    <t xml:space="preserve">SDA Appts/Wk</t>
  </si>
  <si>
    <t xml:space="preserve">Status</t>
  </si>
  <si>
    <t xml:space="preserve">Approved By</t>
  </si>
  <si>
    <t xml:space="preserve">Approval Date</t>
  </si>
  <si>
    <t xml:space="preserve">Reinvestment Plan</t>
  </si>
  <si>
    <t xml:space="preserve">BB-001</t>
  </si>
  <si>
    <t xml:space="preserve">TBC — New GP Recruit</t>
  </si>
  <si>
    <t xml:space="preserve">Draft</t>
  </si>
  <si>
    <t xml:space="preserve">Recruit 8-session GP at £11K-£12K DOE for proactive care</t>
  </si>
  <si>
    <t xml:space="preserve">BB-002</t>
  </si>
  <si>
    <t xml:space="preserve">N/A — SEE NOTES</t>
  </si>
  <si>
    <t xml:space="preserve">GP + ACP</t>
  </si>
  <si>
    <t xml:space="preserve">N/A</t>
  </si>
  <si>
    <t xml:space="preserve">⚠️ NOT A BUY-BACK — Towcester currently below target (62%). New staff = New SDA to meet minimum, not buy-back. Recruitment proceeds but classified as New SDA provision.</t>
  </si>
  <si>
    <t xml:space="preserve">BB-003</t>
  </si>
  <si>
    <t xml:space="preserve">BB-004</t>
  </si>
  <si>
    <t xml:space="preserve">BB-005</t>
  </si>
  <si>
    <t xml:space="preserve">BB-006</t>
  </si>
  <si>
    <t xml:space="preserve">BB-007</t>
  </si>
  <si>
    <t xml:space="preserve">BB-008</t>
  </si>
  <si>
    <t xml:space="preserve">BB-009</t>
  </si>
  <si>
    <t xml:space="preserve">BB-010</t>
  </si>
  <si>
    <t xml:space="preserve">BB-011</t>
  </si>
  <si>
    <t xml:space="preserve">BB-012</t>
  </si>
  <si>
    <t xml:space="preserve">BB-013</t>
  </si>
  <si>
    <t xml:space="preserve">BB-014</t>
  </si>
  <si>
    <t xml:space="preserve">BB-015</t>
  </si>
  <si>
    <t xml:space="preserve">BB-016</t>
  </si>
  <si>
    <t xml:space="preserve">BB-017</t>
  </si>
  <si>
    <t xml:space="preserve">BB-018</t>
  </si>
  <si>
    <t xml:space="preserve">BB-019</t>
  </si>
  <si>
    <t xml:space="preserve">BB-020</t>
  </si>
  <si>
    <t xml:space="preserve">BUY-BACK SUMMARY BY PRACTICE</t>
  </si>
  <si>
    <t xml:space="preserve">Applications</t>
  </si>
  <si>
    <t xml:space="preserve">Approved Claims (£)</t>
  </si>
  <si>
    <t xml:space="preserve">Pending Claims (£)</t>
  </si>
  <si>
    <t xml:space="preserve">Total Claimed (£)</t>
  </si>
  <si>
    <t xml:space="preserve">SDA Appts Covered/Wk</t>
  </si>
  <si>
    <t xml:space="preserve">MONTHLY CONTRACT CASH FLOW &amp; MAX CLAIMABLE VALUE</t>
  </si>
  <si>
    <t xml:space="preserve">Contract paid in 12 equal monthly instalments — practices cannot claim more than has been received. Open book.</t>
  </si>
  <si>
    <t xml:space="preserve">NEIGHBOURHOOD CASH FLOW (ALL PRACTICES)</t>
  </si>
  <si>
    <t xml:space="preserve">Month</t>
  </si>
  <si>
    <t xml:space="preserve">Month Name</t>
  </si>
  <si>
    <t xml:space="preserve">Cumulative Paid (£)</t>
  </si>
  <si>
    <t xml:space="preserve">New SDA Spend (£)</t>
  </si>
  <si>
    <t xml:space="preserve">Buy-Back Drawn (£)</t>
  </si>
  <si>
    <t xml:space="preserve">Cumulative Claimed (£)</t>
  </si>
  <si>
    <t xml:space="preserve">Remaining Claimable (£)</t>
  </si>
  <si>
    <t xml:space="preserve">% Drawn Down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</si>
  <si>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</si>
  <si>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</si>
  <si>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</si>
  <si>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</si>
  <si>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</si>
  <si>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</si>
  <si>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</si>
  <si>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</si>
  <si>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</si>
  <si>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</si>
  <si>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</si>
  <si>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</si>
  <si>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ANNUAL TOTAL</t>
  </si>
  <si>
    <t xml:space="preserve">MONTHLY INSTALMENT PER PRACTICE</t>
  </si>
  <si>
    <t xml:space="preserve">3-Month Cumulative (£)</t>
  </si>
  <si>
    <t xml:space="preserve">6-Month Cumulative (£)</t>
  </si>
  <si>
    <t xml:space="preserve">9-Month Cumulative (£)</t>
  </si>
  <si>
    <t xml:space="preserve">12-Month Cumulative (£)</t>
  </si>
  <si>
    <t xml:space="preserve">WEEKLY COMPLIANCE TRACKER — ACTUALS VS TARGETS</t>
  </si>
  <si>
    <t xml:space="preserve">Enter actual weekly appointments delivered per practice. RAG status auto-calculates. Green ≥100%, Amber ≥80%, Red &lt;80%.</t>
  </si>
  <si>
    <t xml:space="preserve">Week</t>
  </si>
  <si>
    <t xml:space="preserve">Period</t>
  </si>
  <si>
    <t xml:space="preserve">Total Actual</t>
  </si>
  <si>
    <t xml:space="preserve">Total Target</t>
  </si>
  <si>
    <t xml:space="preserve">RAG</t>
  </si>
  <si>
    <t xml:space="preserve">Winter</t>
  </si>
  <si>
    <t xml:space="preserve">SDA WORKFORCE DIRECTORY</t>
  </si>
  <si>
    <t xml:space="preserve">Home Practice</t>
  </si>
  <si>
    <t xml:space="preserve">Contract Type</t>
  </si>
  <si>
    <t xml:space="preserve">Cost/Session (£)</t>
  </si>
  <si>
    <t xml:space="preserve">On-Costs (£)</t>
  </si>
  <si>
    <t xml:space="preserve">Total Cost (£)</t>
  </si>
  <si>
    <t xml:space="preserve">Works At (Sites)</t>
  </si>
  <si>
    <t xml:space="preserve">Available Days</t>
  </si>
  <si>
    <t xml:space="preserve">TOTAL WORKFORCE COST</t>
  </si>
  <si>
    <t xml:space="preserve">PRACTICE EMAIL CONTACTS — FOR AUTOMATED REPORTS</t>
  </si>
  <si>
    <t xml:space="preserve">Maintain email contacts per practice for scheduled report distribution</t>
  </si>
  <si>
    <t xml:space="preserve">Contact Name</t>
  </si>
  <si>
    <t xml:space="preserve">Email</t>
  </si>
  <si>
    <t xml:space="preserve">Primary?</t>
  </si>
  <si>
    <t xml:space="preserve">Weekly Report</t>
  </si>
  <si>
    <t xml:space="preserve">Monthly Report</t>
  </si>
  <si>
    <t xml:space="preserve">Alerts</t>
  </si>
  <si>
    <t xml:space="preserve">BOARD &amp; ICB CONTACTS</t>
  </si>
  <si>
    <t xml:space="preserve">NRES Board / ICB</t>
  </si>
  <si>
    <t xml:space="preserve">Dr Mark Gray</t>
  </si>
  <si>
    <t xml:space="preserve">SNO / Clinical Lead</t>
  </si>
  <si>
    <t xml:space="preserve">Malcolm Railson</t>
  </si>
  <si>
    <t xml:space="preserve">Digital &amp; Transformation Lead</t>
  </si>
  <si>
    <t xml:space="preserve">Amanda Palin</t>
  </si>
  <si>
    <t xml:space="preserve">Joint Practice Rep</t>
  </si>
  <si>
    <t xml:space="preserve">Dr Simon Ellis</t>
  </si>
  <si>
    <t xml:space="preserve">Board Chair / GP Partner</t>
  </si>
  <si>
    <t xml:space="preserve">ICB Finance Contact</t>
  </si>
  <si>
    <t xml:space="preserve">ICB Programme Lead</t>
  </si>
  <si>
    <t xml:space="preserve">MONTHLY ROTA OVERVIEW — PRACTICE VIEW</t>
  </si>
  <si>
    <t xml:space="preserve">Month:</t>
  </si>
  <si>
    <t xml:space="preserve">April 2026</t>
  </si>
  <si>
    <t xml:space="preserve">Practice:</t>
  </si>
  <si>
    <t xml:space="preserve">MONTHLY PLANNING GRID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</si>
  <si>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</si>
  <si>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</si>
  <si>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</si>
  <si>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</si>
  <si>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</si>
  <si>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</si>
  <si>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Weekly Total</t>
  </si>
  <si>
    <t xml:space="preserve">Week 1 — Sessions</t>
  </si>
  <si>
    <t xml:space="preserve">Appointments</t>
  </si>
  <si>
    <t xml:space="preserve">— New SDA</t>
  </si>
  <si>
    <t xml:space="preserve">— Buy-Back</t>
  </si>
  <si>
    <t xml:space="preserve">Week 2 — Sessions</t>
  </si>
  <si>
    <t xml:space="preserve">Week 3 — Sessions</t>
  </si>
  <si>
    <t xml:space="preserve">Week 4 — Sessions</t>
  </si>
  <si>
    <t xml:space="preserve">Week 5 — Sessions</t>
  </si>
  <si>
    <t xml:space="preserve">MONTHLY SUMMARY</t>
  </si>
  <si>
    <t xml:space="preserve">Total Sessions (Month)</t>
  </si>
  <si>
    <t xml:space="preserve">Total Appointments (Month)</t>
  </si>
  <si>
    <t xml:space="preserve">New SDA Appointments</t>
  </si>
  <si>
    <t xml:space="preserve">Buy-Back Appointments</t>
  </si>
  <si>
    <t xml:space="preserve">Monthly Target (approx)</t>
  </si>
  <si>
    <t xml:space="preserve">AUDIT TRAIL — CHANGE LOG</t>
  </si>
  <si>
    <t xml:space="preserve">Record all changes for governance. Managed by Super Users (Malcolm &amp; Amanda). Immutable once entered.</t>
  </si>
  <si>
    <t xml:space="preserve">Date</t>
  </si>
  <si>
    <t xml:space="preserve">Changed By</t>
  </si>
  <si>
    <t xml:space="preserve">Practice Affected</t>
  </si>
  <si>
    <t xml:space="preserve">What Changed</t>
  </si>
  <si>
    <t xml:space="preserve">Previous Value</t>
  </si>
  <si>
    <t xml:space="preserve">New Value</t>
  </si>
  <si>
    <t xml:space="preserve">On Behalf Of</t>
  </si>
  <si>
    <t xml:space="preserve">The Parks MC — NRES SDA PRACTICE DASHBOARD</t>
  </si>
  <si>
    <t xml:space="preserve">Complete view: contract allocation, targets, actuals, workforce, buy-back, cash flow &amp; compliance</t>
  </si>
  <si>
    <t xml:space="preserve">PRACTICE PROFILE</t>
  </si>
  <si>
    <t xml:space="preserve">Hub / Spoke</t>
  </si>
  <si>
    <t xml:space="preserve">% of Neighbourhood</t>
  </si>
  <si>
    <t xml:space="preserve">CONTRACT ALLOCATION (OPEN BOOK)</t>
  </si>
  <si>
    <t xml:space="preserve">Annual Allocation</t>
  </si>
  <si>
    <t xml:space="preserve">Monthly Instalment (1/12th)</t>
  </si>
  <si>
    <t xml:space="preserve">Recruitment Budget (75%)</t>
  </si>
  <si>
    <t xml:space="preserve">Overheads (25%)</t>
  </si>
  <si>
    <t xml:space="preserve">WEEKLY APPOINTMENT TARGETS</t>
  </si>
  <si>
    <t xml:space="preserve">Weeks</t>
  </si>
  <si>
    <t xml:space="preserve">Target/Wk</t>
  </si>
  <si>
    <t xml:space="preserve">Seasonal Total</t>
  </si>
  <si>
    <t xml:space="preserve">WEEKLY ACTUALS vs TARGETS (FIRST 13 WEEKS — ADD MORE AS NEEDED)</t>
  </si>
  <si>
    <t xml:space="preserve">Target</t>
  </si>
  <si>
    <t xml:space="preserve">F2F Actual</t>
  </si>
  <si>
    <t xml:space="preserve">Remote Actual</t>
  </si>
  <si>
    <t xml:space="preserve">% Achieved</t>
  </si>
  <si>
    <t xml:space="preserve">New SDA</t>
  </si>
  <si>
    <t xml:space="preserve">Buy-Back</t>
  </si>
  <si>
    <t xml:space="preserve">TOTAL (Wks 1-13)</t>
  </si>
  <si>
    <t xml:space="preserve">RAG Status</t>
  </si>
  <si>
    <t xml:space="preserve">STAFF DEPLOYED AT THIS PRACTICE</t>
  </si>
  <si>
    <t xml:space="preserve">Appts/Session</t>
  </si>
  <si>
    <t xml:space="preserve">Appts/Wk</t>
  </si>
  <si>
    <t xml:space="preserve">Total (£)</t>
  </si>
  <si>
    <t xml:space="preserve">TOTAL STAFF COST</t>
  </si>
  <si>
    <t xml:space="preserve">BUY-BACK APPLICATIONS FOR THIS PRACTICE</t>
  </si>
  <si>
    <t xml:space="preserve">Rate/Session (£)</t>
  </si>
  <si>
    <t xml:space="preserve">Annual (£)</t>
  </si>
  <si>
    <t xml:space="preserve">Total inc OC (£)</t>
  </si>
  <si>
    <t xml:space="preserve">Claim Value (£)</t>
  </si>
  <si>
    <t xml:space="preserve">TOTAL BUY-BACK</t>
  </si>
  <si>
    <t xml:space="preserve">MONTHLY CASH FLOW — THIS PRACTICE (OPEN BOOK)</t>
  </si>
  <si>
    <t xml:space="preserve">Instalment (£)</t>
  </si>
  <si>
    <t xml:space="preserve">Cumul. Paid (£)</t>
  </si>
  <si>
    <t xml:space="preserve">Cumul. Claimed (£)</t>
  </si>
  <si>
    <t xml:space="preserve">Headroom (£)</t>
  </si>
  <si>
    <t xml:space="preserve">% Drawn</t>
  </si>
  <si>
    <t xml:space="preserve">ANNUAL</t>
  </si>
  <si>
    <t xml:space="preserve">COMPLIANCE SUMMARY</t>
  </si>
  <si>
    <t xml:space="preserve">Annual appointment target</t>
  </si>
  <si>
    <t xml:space="preserve">Appointments delivered YTD</t>
  </si>
  <si>
    <t xml:space="preserve">% of annual target achieved</t>
  </si>
  <si>
    <t xml:space="preserve">Average weekly delivery (first 13 wks)</t>
  </si>
  <si>
    <t xml:space="preserve">Non-winter weekly target</t>
  </si>
  <si>
    <t xml:space="preserve">Variance (avg vs target)</t>
  </si>
  <si>
    <t xml:space="preserve">Remote % (of total delivered)</t>
  </si>
  <si>
    <t xml:space="preserve">Remote % compliant? (≥50%)</t>
  </si>
  <si>
    <t xml:space="preserve">Total workforce cost (this practice)</t>
  </si>
  <si>
    <t xml:space="preserve">Total buy-back claims</t>
  </si>
  <si>
    <t xml:space="preserve">Total expenditure (staff + buy-back)</t>
  </si>
  <si>
    <t xml:space="preserve">Budget remaining</t>
  </si>
  <si>
    <t xml:space="preserve">REINVESTMENT TRACKING (BUY-BACK PRACTICES ONLY)</t>
  </si>
  <si>
    <t xml:space="preserve">Buy-Back Ref</t>
  </si>
  <si>
    <t xml:space="preserve">New Role Recruited</t>
  </si>
  <si>
    <t xml:space="preserve">Salary (£)</t>
  </si>
  <si>
    <t xml:space="preserve">Start Date</t>
  </si>
  <si>
    <t xml:space="preserve">Evidence</t>
  </si>
  <si>
    <t xml:space="preserve">PRACTICE NOTES &amp; ACTIONS</t>
  </si>
  <si>
    <t xml:space="preserve">Note / Action</t>
  </si>
  <si>
    <t xml:space="preserve">Owner</t>
  </si>
  <si>
    <t xml:space="preserve">Due Date</t>
  </si>
  <si>
    <t xml:space="preserve">Brackley MC — NRES SDA PRACTICE DASHBOARD</t>
  </si>
  <si>
    <t xml:space="preserve">Springfield Surgery — NRES SDA PRACTICE DASHBOARD</t>
  </si>
  <si>
    <t xml:space="preserve">Towcester MC — NRES SDA PRACTICE DASHBOARD</t>
  </si>
  <si>
    <t xml:space="preserve">TBC — New ACP Recruit</t>
  </si>
  <si>
    <t xml:space="preserve">28/01/2026</t>
  </si>
  <si>
    <t xml:space="preserve">✅ LIST SIZE CONFIRMED: 11,748 patients (Jan 2026, approved by all practices with Amanda). Chloe's figure was correct.</t>
  </si>
  <si>
    <t xml:space="preserve">Malcolm / Amanda</t>
  </si>
  <si>
    <t xml:space="preserve">Complete</t>
  </si>
  <si>
    <t xml:space="preserve">🚨 CRITICAL: Chloe reports current SDA provision at 110/wk (year), 120/wk (winter). Target is 179/wk non-winter, 214/wk winter. TOWCESTER IS CURRENTLY AT 62% OF TARGET. New staff needed to MEET TARGETS FIRST — this is New SDA provision, NOT buy-back. Chloe notes figures exclude triaging/unused/DNA — full data pending.</t>
  </si>
  <si>
    <t xml:space="preserve">Open</t>
  </si>
  <si>
    <t xml:space="preserve">Chloe proposes 12-session GP at £12K + ACP at £28.15/hr (24hrs/wk). Total cost £231,760 — virtually the entire recruitment budget with ~£234 remaining. No headroom for contingency. Maths checks out but budget is razor-thin.</t>
  </si>
  <si>
    <t xml:space="preserve">Chloe questions whether ACP appointments also need 50% F2F — needs clarification from ICB spec. Also mentions wanting to use financial model rather than appointment model for planning.</t>
  </si>
  <si>
    <t xml:space="preserve">Chloe mentions 14% overheads + 10% buffer = 24% (vs our 25% assumption). Minor difference. She's using 25% 'to be safe' which aligns with our model.</t>
  </si>
  <si>
    <t xml:space="preserve">Info</t>
  </si>
  <si>
    <t xml:space="preserve">Bugbrooke Surgery — NRES SDA PRACTICE DASHBOARD</t>
  </si>
  <si>
    <t xml:space="preserve">Brook Health Centre — NRES SDA PRACTICE DASHBOARD</t>
  </si>
  <si>
    <t xml:space="preserve">Denton Village Surgery — NRES SDA PRACTICE DASHBOARD</t>
  </si>
  <si>
    <t xml:space="preserve">Existing GP Capacity (Buy-Back)</t>
  </si>
  <si>
    <t xml:space="preserve">BB-001 (pending)</t>
  </si>
  <si>
    <t xml:space="preserve">Recruit 8-session GP at £11K-£12K DOE for proactive care (Part B)</t>
  </si>
  <si>
    <t xml:space="preserve">GP — 8 sessions</t>
  </si>
  <si>
    <t xml:space="preserve">Planned</t>
  </si>
  <si>
    <t xml:space="preserve">Nicola confirms current SDA provision: 204 GP appts/wk (no leave), 165 when GP on leave, 303 total with ANPs/Paramedic. Target is ~96/wk. STRONG buy-back case — delivering 2-3x minimum. Proposes 8-session GP at £11K-£12K DOE to free existing SDA for Part B.</t>
  </si>
  <si>
    <t xml:space="preserve">Nicola Draper</t>
  </si>
  <si>
    <t xml:space="preserve">In Progress</t>
  </si>
  <si>
    <t xml:space="preserve">Room availability: 5 sessions currently available, can create 3 more with planned changes = 8 total. Can offer 50% remote if needed.</t>
  </si>
  <si>
    <t xml:space="preserve">Buy-back proposal needs to go through Malcolm &amp; Amanda for equity check. Once approved as part of ICB Buy Back scheme, will do appointment modelling for Part B.</t>
  </si>
  <si>
    <t xml:space="preserve">DNA (DID NOT ATTEND) TRACKING — WEEKLY BY PRACTICE</t>
  </si>
  <si>
    <t xml:space="preserve">Enter weekly DNA counts per practice. DNA rate auto-calculates. Amber ≥5%, Red ≥10%. Feeds into compliance reporting.</t>
  </si>
  <si>
    <t xml:space="preserve">Parks DNAs</t>
  </si>
  <si>
    <t xml:space="preserve">Brackley DNAs</t>
  </si>
  <si>
    <t xml:space="preserve">Springfield DNAs</t>
  </si>
  <si>
    <t xml:space="preserve">Towcester DNAs</t>
  </si>
  <si>
    <t xml:space="preserve">Bugbrooke DNAs</t>
  </si>
  <si>
    <t xml:space="preserve">Brook DNAs</t>
  </si>
  <si>
    <t xml:space="preserve">Denton DNAs</t>
  </si>
  <si>
    <t xml:space="preserve">Total DNAs</t>
  </si>
  <si>
    <t xml:space="preserve">Total Offered</t>
  </si>
  <si>
    <t xml:space="preserve">DNA Rate</t>
  </si>
  <si>
    <t xml:space="preserve">DNA SUMMARY BY PRACTICE (CUMULATIVE YTD)</t>
  </si>
  <si>
    <t xml:space="preserve">Avg DNAs/Wk</t>
  </si>
  <si>
    <t xml:space="preserve">Est Wasted Cost (£)</t>
  </si>
  <si>
    <t xml:space="preserve">DNA RATE THRESHOLDS (CONFIGURABLE)</t>
  </si>
  <si>
    <t xml:space="preserve">Amber threshold</t>
  </si>
  <si>
    <t xml:space="preserve">Flag practices above this rate</t>
  </si>
  <si>
    <t xml:space="preserve">Red threshold</t>
  </si>
  <si>
    <t xml:space="preserve">Escalation required</t>
  </si>
  <si>
    <t xml:space="preserve">Est cost per DNA (£)</t>
  </si>
  <si>
    <t xml:space="preserve">Used for wasted cost calculation</t>
  </si>
  <si>
    <t xml:space="preserve">ABSENCE TRACKER — ANNUAL LEAVE / SICKNESS / PLT / STUDY LEAVE</t>
  </si>
  <si>
    <t xml:space="preserve">Record all staff absences. Sessions lost deduct from expected capacity. Feeds into compliance and trend reporting.</t>
  </si>
  <si>
    <t xml:space="preserve">ABSENCE LOG</t>
  </si>
  <si>
    <t xml:space="preserve">Session (AM/PM/Eve)</t>
  </si>
  <si>
    <t xml:space="preserve">Absence Type</t>
  </si>
  <si>
    <t xml:space="preserve">Appts Lost</t>
  </si>
  <si>
    <t xml:space="preserve">Cover Arranged?</t>
  </si>
  <si>
    <t xml:space="preserve">Cover By</t>
  </si>
  <si>
    <t xml:space="preserve">ABSENCE SUMMARY BY TYPE</t>
  </si>
  <si>
    <t xml:space="preserve">Count</t>
  </si>
  <si>
    <t xml:space="preserve">Sessions Lost</t>
  </si>
  <si>
    <t xml:space="preserve">Annual Leave</t>
  </si>
  <si>
    <t xml:space="preserve">Sickness</t>
  </si>
  <si>
    <t xml:space="preserve">PLT</t>
  </si>
  <si>
    <t xml:space="preserve">Study Leave</t>
  </si>
  <si>
    <t xml:space="preserve">Other</t>
  </si>
  <si>
    <t xml:space="preserve">ABSENCE SUMMARY BY PRACTICE</t>
  </si>
  <si>
    <t xml:space="preserve">Total Absences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</si>
</sst>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£#,##0.00"/>
    <numFmt numFmtId="166" formatCode="#,##0"/>
    <numFmt numFmtId="167" formatCode="#,##0.0"/>
    <numFmt numFmtId="168" formatCode="0.0%"/>
    <numFmt numFmtId="169" formatCode="0.00%"/>
    <numFmt numFmtId="170" formatCode="\£#,##0"/>
    <numFmt numFmtId="171" formatCode="\£#,##0.00;[RED]&quot;-£&quot;#,##0.00"/>
    <numFmt numFmtId="172" formatCode="m/d/yyyy"/>
    <numFmt numFmtId="173" formatCode="\£#,##0"/>
    <numFmt numFmtId="174" formatCode="dd/mm/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3B5998"/>
      <name val="Arial"/>
      <family val="0"/>
      <charset val="1"/>
    </font>
    <font>
      <b val="true"/>
      <sz val="10"/>
      <color rgb="FF2C3E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2"/>
      <charset val="1"/>
    </font>
    <font>
      <i val="true"/>
      <sz val="9"/>
      <color rgb="FF666666"/>
      <name val="Arial"/>
      <family val="2"/>
      <charset val="1"/>
    </font>
    <font>
      <b val="true"/>
      <sz val="10"/>
      <color rgb="FF2C3E6B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color rgb="FFFFFFFF"/>
      <name val="Aptos Narrow"/>
      <family val="2"/>
      <charset val="1"/>
    </font>
    <font>
      <sz val="11"/>
      <color rgb="FF000000"/>
      <name val="Aptos Narrow"/>
      <family val="2"/>
      <charset val="1"/>
    </font>
    <font>
      <i val="true"/>
      <sz val="10"/>
      <color rgb="FF8E44AD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8080"/>
      <name val="Arial"/>
      <family val="0"/>
      <charset val="1"/>
    </font>
    <font>
      <i val="true"/>
      <sz val="10"/>
      <color rgb="FFE74C3C"/>
      <name val="Arial"/>
      <family val="0"/>
      <charset val="1"/>
    </font>
    <font>
      <i val="true"/>
      <sz val="10"/>
      <color rgb="FFF39C12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sz val="10"/>
      <name val="Arial"/>
      <family val="2"/>
    </font>
    <font>
      <i val="true"/>
      <sz val="10"/>
      <color rgb="FF95A5A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EBF1F8"/>
        <bgColor rgb="FFF2F2F2"/>
      </patternFill>
    </fill>
    <fill>
      <patternFill patternType="solid">
        <fgColor rgb="FFD6E4F0"/>
        <bgColor rgb="FFE8E8E8"/>
      </patternFill>
    </fill>
    <fill>
      <patternFill patternType="solid">
        <fgColor rgb="FF3B5998"/>
        <bgColor rgb="FF2C3E6B"/>
      </patternFill>
    </fill>
    <fill>
      <patternFill patternType="solid">
        <fgColor rgb="FFFFFFCC"/>
        <bgColor rgb="FFFEF9E7"/>
      </patternFill>
    </fill>
    <fill>
      <patternFill patternType="solid">
        <fgColor rgb="FFCC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BF1F8"/>
      </patternFill>
    </fill>
    <fill>
      <patternFill patternType="solid">
        <fgColor rgb="FFF2F2F2"/>
        <bgColor rgb="FFEBF1F8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E8E8E8"/>
      </patternFill>
    </fill>
    <fill>
      <patternFill patternType="solid">
        <fgColor rgb="FFD1F2EB"/>
        <bgColor rgb="FFD5F5E3"/>
      </patternFill>
    </fill>
    <fill>
      <patternFill patternType="solid">
        <fgColor rgb="FFD5F5E3"/>
        <bgColor rgb="FFD1F2EB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7F8C8D"/>
      <rgbColor rgb="FF9999FF"/>
      <rgbColor rgb="FF8E44AD"/>
      <rgbColor rgb="FFFFFFCC"/>
      <rgbColor rgb="FFD1F2EB"/>
      <rgbColor rgb="FF660066"/>
      <rgbColor rgb="FFE74C3C"/>
      <rgbColor rgb="FF2980B9"/>
      <rgbColor rgb="FFD5D8DC"/>
      <rgbColor rgb="FF000080"/>
      <rgbColor rgb="FFFF00FF"/>
      <rgbColor rgb="FFFFFF00"/>
      <rgbColor rgb="FF00FFFF"/>
      <rgbColor rgb="FF800080"/>
      <rgbColor rgb="FF800000"/>
      <rgbColor rgb="FF16A085"/>
      <rgbColor rgb="FF0000FF"/>
      <rgbColor rgb="FF00CCFF"/>
      <rgbColor rgb="FFEBF1F8"/>
      <rgbColor rgb="FFD5F5E3"/>
      <rgbColor rgb="FFFEF9E7"/>
      <rgbColor rgb="FFD6E4F0"/>
      <rgbColor rgb="FFE8E8E8"/>
      <rgbColor rgb="FFF2F2F2"/>
      <rgbColor rgb="FFFADBD8"/>
      <rgbColor rgb="FF3B5998"/>
      <rgbColor rgb="FF1ABC9C"/>
      <rgbColor rgb="FF99CC00"/>
      <rgbColor rgb="FFFFCC00"/>
      <rgbColor rgb="FFF39C12"/>
      <rgbColor rgb="FFE67E22"/>
      <rgbColor rgb="FF666666"/>
      <rgbColor rgb="FF95A5A6"/>
      <rgbColor rgb="FF1B2A4A"/>
      <rgbColor rgb="FF27AE60"/>
      <rgbColor rgb="FF003300"/>
      <rgbColor rgb="FF333300"/>
      <rgbColor rgb="FFC0392B"/>
      <rgbColor rgb="FF993366"/>
      <rgbColor rgb="FF2C3E6B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24" activePane="bottomLeft" state="frozen"/>
      <selection pane="topLeft" activeCell="A1" activeCellId="0" sqref="A1"/>
      <selection pane="bottomLeft" activeCell="A28" activeCellId="0" sqref="A2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2.8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0.7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/>
      <c r="F5" s="4"/>
    </row>
    <row r="6" customFormat="false" ht="18" hidden="false" customHeight="true" outlineLevel="0" collapsed="false">
      <c r="A6" s="5" t="s">
        <v>7</v>
      </c>
      <c r="B6" s="6" t="n">
        <v>26.33</v>
      </c>
      <c r="C6" s="7" t="s">
        <v>8</v>
      </c>
      <c r="D6" s="8" t="s">
        <v>9</v>
      </c>
    </row>
    <row r="7" customFormat="false" ht="18" hidden="false" customHeight="true" outlineLevel="0" collapsed="false">
      <c r="A7" s="5" t="s">
        <v>10</v>
      </c>
      <c r="B7" s="9" t="n">
        <v>89584</v>
      </c>
      <c r="C7" s="7" t="s">
        <v>11</v>
      </c>
      <c r="D7" s="8" t="s">
        <v>12</v>
      </c>
    </row>
    <row r="8" customFormat="false" ht="18" hidden="false" customHeight="true" outlineLevel="0" collapsed="false">
      <c r="A8" s="5" t="s">
        <v>13</v>
      </c>
      <c r="B8" s="10" t="n">
        <f aca="false">B6*B7</f>
        <v>2358746.72</v>
      </c>
      <c r="C8" s="7" t="s">
        <v>14</v>
      </c>
      <c r="D8" s="8" t="s">
        <v>15</v>
      </c>
    </row>
    <row r="9" customFormat="false" ht="18" hidden="false" customHeight="true" outlineLevel="0" collapsed="false">
      <c r="A9" s="5" t="s">
        <v>16</v>
      </c>
      <c r="B9" s="11" t="s">
        <v>17</v>
      </c>
      <c r="C9" s="7" t="s">
        <v>18</v>
      </c>
      <c r="D9" s="8" t="s">
        <v>19</v>
      </c>
    </row>
    <row r="10" customFormat="false" ht="18" hidden="false" customHeight="true" outlineLevel="0" collapsed="false">
      <c r="A10" s="5" t="s">
        <v>20</v>
      </c>
      <c r="B10" s="9" t="n">
        <v>39</v>
      </c>
      <c r="C10" s="7" t="s">
        <v>21</v>
      </c>
      <c r="D10" s="8" t="s">
        <v>22</v>
      </c>
    </row>
    <row r="11" customFormat="false" ht="18" hidden="false" customHeight="true" outlineLevel="0" collapsed="false">
      <c r="A11" s="5" t="s">
        <v>23</v>
      </c>
      <c r="B11" s="9" t="n">
        <v>13</v>
      </c>
      <c r="C11" s="7" t="s">
        <v>21</v>
      </c>
      <c r="D11" s="8" t="s">
        <v>24</v>
      </c>
    </row>
    <row r="12" customFormat="false" ht="18" hidden="false" customHeight="true" outlineLevel="0" collapsed="false">
      <c r="A12" s="5" t="s">
        <v>25</v>
      </c>
      <c r="B12" s="5" t="n">
        <f aca="false">B10+B11</f>
        <v>52</v>
      </c>
      <c r="C12" s="7" t="s">
        <v>21</v>
      </c>
      <c r="D12" s="8"/>
    </row>
    <row r="13" customFormat="false" ht="18" hidden="false" customHeight="true" outlineLevel="0" collapsed="false">
      <c r="A13" s="5" t="s">
        <v>26</v>
      </c>
      <c r="B13" s="12" t="n">
        <v>15.2</v>
      </c>
      <c r="C13" s="7" t="s">
        <v>27</v>
      </c>
      <c r="D13" s="8" t="s">
        <v>28</v>
      </c>
    </row>
    <row r="14" customFormat="false" ht="18" hidden="false" customHeight="true" outlineLevel="0" collapsed="false">
      <c r="A14" s="5" t="s">
        <v>29</v>
      </c>
      <c r="B14" s="12" t="n">
        <v>18.2</v>
      </c>
      <c r="C14" s="7" t="s">
        <v>27</v>
      </c>
      <c r="D14" s="8" t="s">
        <v>28</v>
      </c>
    </row>
    <row r="15" customFormat="false" ht="18" hidden="false" customHeight="true" outlineLevel="0" collapsed="false">
      <c r="A15" s="13" t="s">
        <v>30</v>
      </c>
      <c r="B15" s="14" t="n">
        <v>0.5</v>
      </c>
      <c r="C15" s="7" t="s">
        <v>31</v>
      </c>
      <c r="D15" s="15" t="s">
        <v>32</v>
      </c>
    </row>
    <row r="16" customFormat="false" ht="18" hidden="false" customHeight="true" outlineLevel="0" collapsed="false">
      <c r="A16" s="5" t="s">
        <v>33</v>
      </c>
      <c r="B16" s="14" t="n">
        <v>0.25</v>
      </c>
      <c r="C16" s="7" t="s">
        <v>34</v>
      </c>
      <c r="D16" s="8" t="s">
        <v>35</v>
      </c>
    </row>
    <row r="17" customFormat="false" ht="18" hidden="false" customHeight="true" outlineLevel="0" collapsed="false">
      <c r="A17" s="5" t="s">
        <v>36</v>
      </c>
      <c r="B17" s="16" t="n">
        <v>0.2938</v>
      </c>
      <c r="C17" s="7" t="s">
        <v>37</v>
      </c>
      <c r="D17" s="8" t="s">
        <v>38</v>
      </c>
    </row>
    <row r="18" customFormat="false" ht="18" hidden="false" customHeight="true" outlineLevel="0" collapsed="false">
      <c r="A18" s="5" t="s">
        <v>39</v>
      </c>
      <c r="B18" s="9" t="n">
        <v>12</v>
      </c>
      <c r="C18" s="7" t="s">
        <v>40</v>
      </c>
      <c r="D18" s="8" t="s">
        <v>41</v>
      </c>
    </row>
    <row r="21" customFormat="false" ht="24" hidden="false" customHeight="true" outlineLevel="0" collapsed="false">
      <c r="A21" s="3" t="s">
        <v>42</v>
      </c>
      <c r="B21" s="3"/>
      <c r="C21" s="3"/>
      <c r="D21" s="3"/>
      <c r="E21" s="3"/>
      <c r="F21" s="3"/>
    </row>
    <row r="22" customFormat="false" ht="30" hidden="false" customHeight="true" outlineLevel="0" collapsed="false">
      <c r="A22" s="4" t="s">
        <v>43</v>
      </c>
      <c r="B22" s="4" t="s">
        <v>44</v>
      </c>
      <c r="C22" s="4" t="s">
        <v>45</v>
      </c>
      <c r="D22" s="4" t="s">
        <v>46</v>
      </c>
      <c r="E22" s="4" t="s">
        <v>47</v>
      </c>
      <c r="F22" s="4" t="s">
        <v>48</v>
      </c>
    </row>
    <row r="23" customFormat="false" ht="18" hidden="false" customHeight="true" outlineLevel="0" collapsed="false">
      <c r="A23" s="5" t="s">
        <v>49</v>
      </c>
      <c r="B23" s="9" t="n">
        <v>12</v>
      </c>
      <c r="C23" s="9" t="n">
        <v>15</v>
      </c>
      <c r="D23" s="9" t="n">
        <v>12</v>
      </c>
      <c r="E23" s="9" t="n">
        <v>15</v>
      </c>
      <c r="F23" s="17" t="n">
        <v>11000</v>
      </c>
    </row>
    <row r="24" customFormat="false" ht="18" hidden="false" customHeight="true" outlineLevel="0" collapsed="false">
      <c r="A24" s="5" t="s">
        <v>50</v>
      </c>
      <c r="B24" s="9" t="n">
        <v>12</v>
      </c>
      <c r="C24" s="9" t="n">
        <v>15</v>
      </c>
      <c r="D24" s="9" t="n">
        <v>12</v>
      </c>
      <c r="E24" s="9" t="n">
        <v>15</v>
      </c>
      <c r="F24" s="17"/>
    </row>
    <row r="25" customFormat="false" ht="18" hidden="false" customHeight="true" outlineLevel="0" collapsed="false">
      <c r="A25" s="5" t="s">
        <v>51</v>
      </c>
      <c r="B25" s="9" t="n">
        <v>12</v>
      </c>
      <c r="C25" s="9" t="n">
        <v>15</v>
      </c>
      <c r="D25" s="9" t="n">
        <v>12</v>
      </c>
      <c r="E25" s="9" t="n">
        <v>15</v>
      </c>
      <c r="F25" s="17"/>
    </row>
    <row r="26" customFormat="false" ht="14.25" hidden="false" customHeight="false" outlineLevel="0" collapsed="false">
      <c r="A26" s="8" t="s">
        <v>52</v>
      </c>
    </row>
    <row r="27" customFormat="false" ht="24" hidden="false" customHeight="true" outlineLevel="0" collapsed="false">
      <c r="A27" s="3" t="s">
        <v>53</v>
      </c>
      <c r="B27" s="3"/>
      <c r="C27" s="3"/>
      <c r="D27" s="3"/>
      <c r="E27" s="3"/>
      <c r="F27" s="3"/>
    </row>
    <row r="28" customFormat="false" ht="30" hidden="false" customHeight="true" outlineLevel="0" collapsed="false">
      <c r="A28" s="4" t="s">
        <v>54</v>
      </c>
      <c r="B28" s="4" t="s">
        <v>55</v>
      </c>
      <c r="C28" s="4" t="s">
        <v>56</v>
      </c>
      <c r="D28" s="4" t="s">
        <v>57</v>
      </c>
      <c r="E28" s="4" t="s">
        <v>58</v>
      </c>
      <c r="F28" s="4"/>
    </row>
    <row r="29" customFormat="false" ht="18" hidden="false" customHeight="true" outlineLevel="0" collapsed="false">
      <c r="A29" s="5" t="s">
        <v>59</v>
      </c>
      <c r="B29" s="18" t="n">
        <v>22827</v>
      </c>
      <c r="C29" s="7" t="s">
        <v>60</v>
      </c>
      <c r="D29" s="7" t="s">
        <v>61</v>
      </c>
      <c r="E29" s="19" t="n">
        <f aca="false">B29/B36</f>
        <v>0.254811126986962</v>
      </c>
    </row>
    <row r="30" customFormat="false" ht="18" hidden="false" customHeight="true" outlineLevel="0" collapsed="false">
      <c r="A30" s="5" t="s">
        <v>62</v>
      </c>
      <c r="B30" s="18" t="n">
        <v>16212</v>
      </c>
      <c r="C30" s="7" t="s">
        <v>60</v>
      </c>
      <c r="D30" s="7" t="s">
        <v>61</v>
      </c>
      <c r="E30" s="19" t="n">
        <f aca="false">B30/B36</f>
        <v>0.180969816038578</v>
      </c>
    </row>
    <row r="31" customFormat="false" ht="18" hidden="false" customHeight="true" outlineLevel="0" collapsed="false">
      <c r="A31" s="5" t="s">
        <v>63</v>
      </c>
      <c r="B31" s="18" t="n">
        <v>12611</v>
      </c>
      <c r="C31" s="7" t="s">
        <v>64</v>
      </c>
      <c r="D31" s="7" t="s">
        <v>65</v>
      </c>
      <c r="E31" s="19" t="n">
        <f aca="false">B31/B36</f>
        <v>0.140772905876049</v>
      </c>
    </row>
    <row r="32" customFormat="false" ht="18" hidden="false" customHeight="true" outlineLevel="0" collapsed="false">
      <c r="A32" s="5" t="s">
        <v>66</v>
      </c>
      <c r="B32" s="18" t="n">
        <v>11748</v>
      </c>
      <c r="C32" s="7" t="s">
        <v>64</v>
      </c>
      <c r="D32" s="7" t="s">
        <v>65</v>
      </c>
      <c r="E32" s="19" t="n">
        <f aca="false">B32/B36</f>
        <v>0.131139489194499</v>
      </c>
    </row>
    <row r="33" customFormat="false" ht="18" hidden="false" customHeight="true" outlineLevel="0" collapsed="false">
      <c r="A33" s="5" t="s">
        <v>67</v>
      </c>
      <c r="B33" s="18" t="n">
        <v>10788</v>
      </c>
      <c r="C33" s="7" t="s">
        <v>64</v>
      </c>
      <c r="D33" s="7" t="s">
        <v>61</v>
      </c>
      <c r="E33" s="19" t="n">
        <f aca="false">B33/B36</f>
        <v>0.120423289873192</v>
      </c>
    </row>
    <row r="34" customFormat="false" ht="18" hidden="false" customHeight="true" outlineLevel="0" collapsed="false">
      <c r="A34" s="5" t="s">
        <v>68</v>
      </c>
      <c r="B34" s="18" t="n">
        <v>9069</v>
      </c>
      <c r="C34" s="7" t="s">
        <v>64</v>
      </c>
      <c r="D34" s="7" t="s">
        <v>61</v>
      </c>
      <c r="E34" s="19" t="n">
        <f aca="false">B34/B36</f>
        <v>0.101234595463476</v>
      </c>
    </row>
    <row r="35" customFormat="false" ht="18" hidden="false" customHeight="true" outlineLevel="0" collapsed="false">
      <c r="A35" s="5" t="s">
        <v>69</v>
      </c>
      <c r="B35" s="18" t="n">
        <v>6329</v>
      </c>
      <c r="C35" s="7" t="s">
        <v>64</v>
      </c>
      <c r="D35" s="7" t="s">
        <v>61</v>
      </c>
      <c r="E35" s="19" t="n">
        <f aca="false">B35/B36</f>
        <v>0.0706487765672442</v>
      </c>
    </row>
    <row r="36" customFormat="false" ht="18" hidden="false" customHeight="true" outlineLevel="0" collapsed="false">
      <c r="A36" s="20" t="s">
        <v>70</v>
      </c>
      <c r="B36" s="21" t="n">
        <f aca="false">SUM(B29:B35)</f>
        <v>89584</v>
      </c>
      <c r="C36" s="22"/>
      <c r="D36" s="22"/>
      <c r="E36" s="23" t="n">
        <f aca="false">SUM(E29:E35)</f>
        <v>1</v>
      </c>
    </row>
    <row r="38" customFormat="false" ht="24" hidden="false" customHeight="true" outlineLevel="0" collapsed="false">
      <c r="A38" s="24" t="s">
        <v>71</v>
      </c>
      <c r="B38" s="24"/>
      <c r="C38" s="24"/>
      <c r="D38" s="24"/>
      <c r="E38" s="24"/>
      <c r="F38" s="24"/>
    </row>
    <row r="39" customFormat="false" ht="30" hidden="false" customHeight="true" outlineLevel="0" collapsed="false">
      <c r="A39" s="4" t="s">
        <v>72</v>
      </c>
      <c r="B39" s="4" t="s">
        <v>73</v>
      </c>
      <c r="C39" s="4" t="s">
        <v>74</v>
      </c>
      <c r="D39" s="4" t="s">
        <v>75</v>
      </c>
      <c r="E39" s="4" t="s">
        <v>76</v>
      </c>
      <c r="F39" s="4" t="s">
        <v>77</v>
      </c>
    </row>
    <row r="40" customFormat="false" ht="18" hidden="false" customHeight="true" outlineLevel="0" collapsed="false">
      <c r="A40" s="25" t="s">
        <v>78</v>
      </c>
      <c r="B40" s="17"/>
      <c r="C40" s="9"/>
      <c r="D40" s="9"/>
      <c r="E40" s="26"/>
      <c r="F40" s="0" t="s">
        <v>79</v>
      </c>
    </row>
    <row r="41" customFormat="false" ht="18" hidden="false" customHeight="true" outlineLevel="0" collapsed="false">
      <c r="A41" s="25" t="s">
        <v>80</v>
      </c>
      <c r="B41" s="17"/>
      <c r="C41" s="9"/>
      <c r="D41" s="9"/>
      <c r="E41" s="26"/>
      <c r="F41" s="0" t="s">
        <v>79</v>
      </c>
    </row>
    <row r="42" customFormat="false" ht="18" hidden="false" customHeight="true" outlineLevel="0" collapsed="false">
      <c r="A42" s="13" t="s">
        <v>81</v>
      </c>
      <c r="B42" s="17"/>
      <c r="C42" s="9"/>
      <c r="D42" s="9"/>
      <c r="E42" s="26"/>
      <c r="F42" s="0" t="s">
        <v>82</v>
      </c>
    </row>
    <row r="43" customFormat="false" ht="18" hidden="false" customHeight="true" outlineLevel="0" collapsed="false">
      <c r="A43" s="13" t="s">
        <v>83</v>
      </c>
      <c r="B43" s="17" t="n">
        <v>30</v>
      </c>
      <c r="C43" s="9" t="n">
        <v>6</v>
      </c>
      <c r="D43" s="9" t="n">
        <v>46</v>
      </c>
      <c r="E43" s="26" t="n">
        <f aca="false">B43*C43*D43*(1+B17)</f>
        <v>10712.664</v>
      </c>
      <c r="F43" s="0" t="s">
        <v>84</v>
      </c>
    </row>
    <row r="44" customFormat="false" ht="18" hidden="false" customHeight="true" outlineLevel="0" collapsed="false">
      <c r="A44" s="13" t="s">
        <v>85</v>
      </c>
      <c r="B44" s="17" t="n">
        <v>30</v>
      </c>
      <c r="C44" s="9" t="n">
        <v>4</v>
      </c>
      <c r="D44" s="9" t="n">
        <v>46</v>
      </c>
      <c r="E44" s="26" t="n">
        <f aca="false">B44*C44*D44</f>
        <v>5520</v>
      </c>
      <c r="F44" s="0" t="s">
        <v>86</v>
      </c>
    </row>
    <row r="45" customFormat="false" ht="14.25" hidden="false" customHeight="false" outlineLevel="0" collapsed="false">
      <c r="A45" s="25" t="s">
        <v>87</v>
      </c>
      <c r="B45" s="27" t="n">
        <v>30</v>
      </c>
      <c r="C45" s="28" t="n">
        <v>4</v>
      </c>
      <c r="D45" s="28" t="n">
        <v>46</v>
      </c>
      <c r="E45" s="26" t="n">
        <f aca="false">B45*C45*D45</f>
        <v>5520</v>
      </c>
      <c r="F45" s="0" t="s">
        <v>88</v>
      </c>
    </row>
    <row r="46" customFormat="false" ht="14.25" hidden="false" customHeight="false" outlineLevel="0" collapsed="false">
      <c r="A46" s="13" t="s">
        <v>89</v>
      </c>
      <c r="B46" s="17" t="n">
        <v>0</v>
      </c>
      <c r="C46" s="9" t="n">
        <v>4</v>
      </c>
      <c r="D46" s="9" t="n">
        <v>46</v>
      </c>
      <c r="E46" s="26" t="n">
        <f aca="false">B46*C46*D46*(1+B17)</f>
        <v>0</v>
      </c>
      <c r="F46" s="0" t="s">
        <v>90</v>
      </c>
    </row>
    <row r="47" customFormat="false" ht="14.25" hidden="false" customHeight="false" outlineLevel="0" collapsed="false">
      <c r="A47" s="25" t="s">
        <v>91</v>
      </c>
      <c r="B47" s="17"/>
      <c r="C47" s="9"/>
      <c r="D47" s="9"/>
      <c r="E47" s="26"/>
      <c r="F47" s="0" t="s">
        <v>79</v>
      </c>
    </row>
    <row r="48" customFormat="false" ht="14.25" hidden="false" customHeight="false" outlineLevel="0" collapsed="false">
      <c r="A48" s="25" t="s">
        <v>92</v>
      </c>
      <c r="B48" s="17"/>
      <c r="C48" s="9"/>
      <c r="D48" s="9"/>
      <c r="E48" s="26"/>
      <c r="F48" s="0" t="s">
        <v>93</v>
      </c>
    </row>
    <row r="49" customFormat="false" ht="14.25" hidden="false" customHeight="false" outlineLevel="0" collapsed="false">
      <c r="A49" s="25" t="s">
        <v>94</v>
      </c>
      <c r="B49" s="17"/>
      <c r="C49" s="9"/>
      <c r="D49" s="9"/>
      <c r="E49" s="26"/>
      <c r="F49" s="0" t="s">
        <v>95</v>
      </c>
    </row>
  </sheetData>
  <mergeCells count="6">
    <mergeCell ref="A1:F1"/>
    <mergeCell ref="A2:F2"/>
    <mergeCell ref="A4:F4"/>
    <mergeCell ref="A21:F21"/>
    <mergeCell ref="A27:F27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3" activeCellId="0" sqref="A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6"/>
  </cols>
  <sheetData>
    <row r="1" customFormat="false" ht="27.7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4" t="s">
        <v>54</v>
      </c>
      <c r="B3" s="4" t="s">
        <v>55</v>
      </c>
      <c r="C3" s="4" t="s">
        <v>58</v>
      </c>
      <c r="D3" s="4" t="s">
        <v>98</v>
      </c>
      <c r="E3" s="4" t="s">
        <v>99</v>
      </c>
      <c r="F3" s="4" t="s">
        <v>100</v>
      </c>
      <c r="G3" s="4" t="s">
        <v>101</v>
      </c>
      <c r="H3" s="4" t="s">
        <v>102</v>
      </c>
      <c r="I3" s="4" t="s">
        <v>103</v>
      </c>
      <c r="J3" s="4" t="s">
        <v>104</v>
      </c>
      <c r="K3" s="4" t="s">
        <v>102</v>
      </c>
      <c r="L3" s="4" t="s">
        <v>103</v>
      </c>
      <c r="M3" s="4" t="s">
        <v>105</v>
      </c>
      <c r="N3" s="4" t="s">
        <v>56</v>
      </c>
    </row>
    <row r="4" customFormat="false" ht="18" hidden="false" customHeight="true" outlineLevel="0" collapsed="false">
      <c r="A4" s="5" t="str">
        <f aca="false">Assumptions!A29</f>
        <v>The Parks MC</v>
      </c>
      <c r="B4" s="18" t="n">
        <v>22827</v>
      </c>
      <c r="C4" s="19" t="n">
        <f aca="false">B4/B11</f>
        <v>0.254811126986962</v>
      </c>
      <c r="D4" s="29" t="n">
        <f aca="false">B4*Assumptions!B6</f>
        <v>601034.91</v>
      </c>
      <c r="E4" s="29" t="n">
        <f aca="false">D4/Assumptions!B18</f>
        <v>50086.2425</v>
      </c>
      <c r="F4" s="29" t="n">
        <f aca="false">D4*(1-Assumptions!B16)</f>
        <v>450776.1825</v>
      </c>
      <c r="G4" s="30" t="n">
        <f aca="false">(B4/1000)*Assumptions!B13</f>
        <v>346.9704</v>
      </c>
      <c r="H4" s="31" t="n">
        <f aca="false">G4*Assumptions!B15</f>
        <v>173.4852</v>
      </c>
      <c r="I4" s="31" t="n">
        <f aca="false">G4*Assumptions!B15</f>
        <v>173.4852</v>
      </c>
      <c r="J4" s="30" t="n">
        <f aca="false">(B4/1000)*Assumptions!B14</f>
        <v>415.4514</v>
      </c>
      <c r="K4" s="31" t="n">
        <f aca="false">J4*Assumptions!B15</f>
        <v>207.7257</v>
      </c>
      <c r="L4" s="31" t="n">
        <f aca="false">J4*Assumptions!B15</f>
        <v>207.7257</v>
      </c>
      <c r="M4" s="18" t="n">
        <f aca="false">(G4*Assumptions!B10)+(J4*Assumptions!B11)</f>
        <v>18932.7138</v>
      </c>
      <c r="N4" s="7" t="str">
        <f aca="false">Assumptions!C29</f>
        <v>HUB</v>
      </c>
    </row>
    <row r="5" customFormat="false" ht="18" hidden="false" customHeight="true" outlineLevel="0" collapsed="false">
      <c r="A5" s="5" t="str">
        <f aca="false">Assumptions!A30</f>
        <v>Brackley MC</v>
      </c>
      <c r="B5" s="18" t="n">
        <v>16212</v>
      </c>
      <c r="C5" s="19" t="n">
        <f aca="false">B5/B11</f>
        <v>0.180969816038578</v>
      </c>
      <c r="D5" s="29" t="n">
        <f aca="false">B5*Assumptions!B6</f>
        <v>426861.96</v>
      </c>
      <c r="E5" s="29" t="n">
        <f aca="false">D5/Assumptions!B18</f>
        <v>35571.83</v>
      </c>
      <c r="F5" s="29" t="n">
        <f aca="false">D5*(1-Assumptions!B16)</f>
        <v>320146.47</v>
      </c>
      <c r="G5" s="30" t="n">
        <f aca="false">(B5/1000)*Assumptions!B13</f>
        <v>246.4224</v>
      </c>
      <c r="H5" s="31" t="n">
        <f aca="false">G5*Assumptions!B15</f>
        <v>123.2112</v>
      </c>
      <c r="I5" s="31" t="n">
        <f aca="false">G5*Assumptions!B15</f>
        <v>123.2112</v>
      </c>
      <c r="J5" s="30" t="n">
        <f aca="false">(B5/1000)*Assumptions!B14</f>
        <v>295.0584</v>
      </c>
      <c r="K5" s="31" t="n">
        <f aca="false">J5*Assumptions!B15</f>
        <v>147.5292</v>
      </c>
      <c r="L5" s="31" t="n">
        <f aca="false">J5*Assumptions!B15</f>
        <v>147.5292</v>
      </c>
      <c r="M5" s="18" t="n">
        <f aca="false">(G5*Assumptions!B10)+(J5*Assumptions!B11)</f>
        <v>13446.2328</v>
      </c>
      <c r="N5" s="7" t="str">
        <f aca="false">Assumptions!C30</f>
        <v>HUB</v>
      </c>
    </row>
    <row r="6" customFormat="false" ht="18" hidden="false" customHeight="true" outlineLevel="0" collapsed="false">
      <c r="A6" s="5" t="str">
        <f aca="false">Assumptions!A31</f>
        <v>Springfield Surgery</v>
      </c>
      <c r="B6" s="18" t="n">
        <v>12611</v>
      </c>
      <c r="C6" s="19" t="n">
        <f aca="false">B6/B11</f>
        <v>0.140772905876049</v>
      </c>
      <c r="D6" s="29" t="n">
        <f aca="false">B6*Assumptions!B6</f>
        <v>332047.63</v>
      </c>
      <c r="E6" s="29" t="n">
        <f aca="false">D6/Assumptions!B18</f>
        <v>27670.6358333333</v>
      </c>
      <c r="F6" s="29" t="n">
        <f aca="false">D6*(1-Assumptions!B16)</f>
        <v>249035.7225</v>
      </c>
      <c r="G6" s="30" t="n">
        <f aca="false">(B6/1000)*Assumptions!B13</f>
        <v>191.6872</v>
      </c>
      <c r="H6" s="31" t="n">
        <f aca="false">G6*Assumptions!B15</f>
        <v>95.8436</v>
      </c>
      <c r="I6" s="31" t="n">
        <f aca="false">G6*Assumptions!B15</f>
        <v>95.8436</v>
      </c>
      <c r="J6" s="30" t="n">
        <f aca="false">(B6/1000)*Assumptions!B14</f>
        <v>229.5202</v>
      </c>
      <c r="K6" s="31" t="n">
        <f aca="false">J6*Assumptions!B15</f>
        <v>114.7601</v>
      </c>
      <c r="L6" s="31" t="n">
        <f aca="false">J6*Assumptions!B15</f>
        <v>114.7601</v>
      </c>
      <c r="M6" s="18" t="n">
        <f aca="false">(G6*Assumptions!B10)+(J6*Assumptions!B11)</f>
        <v>10459.5634</v>
      </c>
      <c r="N6" s="7" t="str">
        <f aca="false">Assumptions!C31</f>
        <v>SPOKE</v>
      </c>
    </row>
    <row r="7" customFormat="false" ht="18" hidden="false" customHeight="true" outlineLevel="0" collapsed="false">
      <c r="A7" s="5" t="str">
        <f aca="false">Assumptions!A32</f>
        <v>Towcester MC</v>
      </c>
      <c r="B7" s="18" t="n">
        <v>11748</v>
      </c>
      <c r="C7" s="19" t="n">
        <f aca="false">B7/B11</f>
        <v>0.131139489194499</v>
      </c>
      <c r="D7" s="29" t="n">
        <f aca="false">B7*Assumptions!B6</f>
        <v>309324.84</v>
      </c>
      <c r="E7" s="29" t="n">
        <f aca="false">D7/Assumptions!B18</f>
        <v>25777.07</v>
      </c>
      <c r="F7" s="29" t="n">
        <f aca="false">D7*(1-Assumptions!B16)</f>
        <v>231993.63</v>
      </c>
      <c r="G7" s="30" t="n">
        <f aca="false">(B7/1000)*Assumptions!B13</f>
        <v>178.5696</v>
      </c>
      <c r="H7" s="31" t="n">
        <f aca="false">G7*Assumptions!B15</f>
        <v>89.2848</v>
      </c>
      <c r="I7" s="31" t="n">
        <f aca="false">G7*Assumptions!B15</f>
        <v>89.2848</v>
      </c>
      <c r="J7" s="30" t="n">
        <f aca="false">(B7/1000)*Assumptions!B14</f>
        <v>213.8136</v>
      </c>
      <c r="K7" s="31" t="n">
        <f aca="false">J7*Assumptions!B15</f>
        <v>106.9068</v>
      </c>
      <c r="L7" s="31" t="n">
        <f aca="false">J7*Assumptions!B15</f>
        <v>106.9068</v>
      </c>
      <c r="M7" s="18" t="n">
        <f aca="false">(G7*Assumptions!B10)+(J7*Assumptions!B11)</f>
        <v>9743.7912</v>
      </c>
      <c r="N7" s="7" t="str">
        <f aca="false">Assumptions!C32</f>
        <v>SPOKE</v>
      </c>
    </row>
    <row r="8" customFormat="false" ht="18" hidden="false" customHeight="true" outlineLevel="0" collapsed="false">
      <c r="A8" s="5" t="str">
        <f aca="false">Assumptions!A33</f>
        <v>Bugbrooke Surgery</v>
      </c>
      <c r="B8" s="18" t="n">
        <v>10788</v>
      </c>
      <c r="C8" s="19" t="n">
        <f aca="false">B8/B11</f>
        <v>0.120423289873192</v>
      </c>
      <c r="D8" s="29" t="n">
        <f aca="false">B8*Assumptions!B6</f>
        <v>284048.04</v>
      </c>
      <c r="E8" s="29" t="n">
        <f aca="false">D8/Assumptions!B18</f>
        <v>23670.67</v>
      </c>
      <c r="F8" s="29" t="n">
        <f aca="false">D8*(1-Assumptions!B16)</f>
        <v>213036.03</v>
      </c>
      <c r="G8" s="30" t="n">
        <f aca="false">(B8/1000)*Assumptions!B13</f>
        <v>163.9776</v>
      </c>
      <c r="H8" s="31" t="n">
        <f aca="false">G8*Assumptions!B15</f>
        <v>81.9888</v>
      </c>
      <c r="I8" s="31" t="n">
        <f aca="false">G8*Assumptions!B15</f>
        <v>81.9888</v>
      </c>
      <c r="J8" s="30" t="n">
        <f aca="false">(B8/1000)*Assumptions!B14</f>
        <v>196.3416</v>
      </c>
      <c r="K8" s="31" t="n">
        <f aca="false">J8*Assumptions!B15</f>
        <v>98.1708</v>
      </c>
      <c r="L8" s="31" t="n">
        <f aca="false">J8*Assumptions!B15</f>
        <v>98.1708</v>
      </c>
      <c r="M8" s="18" t="n">
        <f aca="false">(G8*Assumptions!B10)+(J8*Assumptions!B11)</f>
        <v>8947.5672</v>
      </c>
      <c r="N8" s="7" t="str">
        <f aca="false">Assumptions!C33</f>
        <v>SPOKE</v>
      </c>
    </row>
    <row r="9" customFormat="false" ht="18" hidden="false" customHeight="true" outlineLevel="0" collapsed="false">
      <c r="A9" s="5" t="str">
        <f aca="false">Assumptions!A34</f>
        <v>Brook Health Centre</v>
      </c>
      <c r="B9" s="18" t="n">
        <v>9069</v>
      </c>
      <c r="C9" s="19" t="n">
        <f aca="false">B9/B11</f>
        <v>0.101234595463476</v>
      </c>
      <c r="D9" s="29" t="n">
        <f aca="false">B9*Assumptions!B6</f>
        <v>238786.77</v>
      </c>
      <c r="E9" s="29" t="n">
        <f aca="false">D9/Assumptions!B18</f>
        <v>19898.8975</v>
      </c>
      <c r="F9" s="29" t="n">
        <f aca="false">D9*(1-Assumptions!B16)</f>
        <v>179090.0775</v>
      </c>
      <c r="G9" s="30" t="n">
        <f aca="false">(B9/1000)*Assumptions!B13</f>
        <v>137.8488</v>
      </c>
      <c r="H9" s="31" t="n">
        <f aca="false">G9*Assumptions!B15</f>
        <v>68.9244</v>
      </c>
      <c r="I9" s="31" t="n">
        <f aca="false">G9*Assumptions!B15</f>
        <v>68.9244</v>
      </c>
      <c r="J9" s="30" t="n">
        <f aca="false">(B9/1000)*Assumptions!B14</f>
        <v>165.0558</v>
      </c>
      <c r="K9" s="31" t="n">
        <f aca="false">J9*Assumptions!B15</f>
        <v>82.5279</v>
      </c>
      <c r="L9" s="31" t="n">
        <f aca="false">J9*Assumptions!B15</f>
        <v>82.5279</v>
      </c>
      <c r="M9" s="18" t="n">
        <f aca="false">(G9*Assumptions!B10)+(J9*Assumptions!B11)</f>
        <v>7521.8286</v>
      </c>
      <c r="N9" s="7" t="str">
        <f aca="false">Assumptions!C34</f>
        <v>SPOKE</v>
      </c>
    </row>
    <row r="10" customFormat="false" ht="18" hidden="false" customHeight="true" outlineLevel="0" collapsed="false">
      <c r="A10" s="5" t="str">
        <f aca="false">Assumptions!A35</f>
        <v>Denton Village Surgery</v>
      </c>
      <c r="B10" s="18" t="n">
        <v>6329</v>
      </c>
      <c r="C10" s="19" t="n">
        <f aca="false">B10/B11</f>
        <v>0.0706487765672442</v>
      </c>
      <c r="D10" s="29" t="n">
        <f aca="false">B10*Assumptions!B6</f>
        <v>166642.57</v>
      </c>
      <c r="E10" s="29" t="n">
        <f aca="false">D10/Assumptions!B18</f>
        <v>13886.8808333333</v>
      </c>
      <c r="F10" s="29" t="n">
        <f aca="false">D10*(1-Assumptions!B16)</f>
        <v>124981.9275</v>
      </c>
      <c r="G10" s="30" t="n">
        <f aca="false">(B10/1000)*Assumptions!B13</f>
        <v>96.2008</v>
      </c>
      <c r="H10" s="31" t="n">
        <f aca="false">G10*Assumptions!B15</f>
        <v>48.1004</v>
      </c>
      <c r="I10" s="31" t="n">
        <f aca="false">G10*Assumptions!B15</f>
        <v>48.1004</v>
      </c>
      <c r="J10" s="30" t="n">
        <f aca="false">(B10/1000)*Assumptions!B14</f>
        <v>115.1878</v>
      </c>
      <c r="K10" s="31" t="n">
        <f aca="false">J10*Assumptions!B15</f>
        <v>57.5939</v>
      </c>
      <c r="L10" s="31" t="n">
        <f aca="false">J10*Assumptions!B15</f>
        <v>57.5939</v>
      </c>
      <c r="M10" s="18" t="n">
        <f aca="false">(G10*Assumptions!B10)+(J10*Assumptions!B11)</f>
        <v>5249.2726</v>
      </c>
      <c r="N10" s="7" t="str">
        <f aca="false">Assumptions!C35</f>
        <v>SPOKE</v>
      </c>
    </row>
    <row r="11" customFormat="false" ht="18" hidden="false" customHeight="true" outlineLevel="0" collapsed="false">
      <c r="A11" s="20" t="s">
        <v>106</v>
      </c>
      <c r="B11" s="21" t="n">
        <f aca="false">SUM(B4:B10)</f>
        <v>89584</v>
      </c>
      <c r="C11" s="23" t="n">
        <f aca="false">SUM(C4:C10)</f>
        <v>1</v>
      </c>
      <c r="D11" s="32" t="n">
        <f aca="false">SUM(D4:D10)</f>
        <v>2358746.72</v>
      </c>
      <c r="E11" s="32" t="n">
        <f aca="false">SUM(E4:E10)</f>
        <v>196562.226666667</v>
      </c>
      <c r="F11" s="32" t="n">
        <f aca="false">SUM(F4:F10)</f>
        <v>1769060.04</v>
      </c>
      <c r="G11" s="33" t="n">
        <f aca="false">SUM(G4:G10)</f>
        <v>1361.6768</v>
      </c>
      <c r="H11" s="33" t="n">
        <f aca="false">SUM(H4:H10)</f>
        <v>680.8384</v>
      </c>
      <c r="I11" s="33" t="n">
        <f aca="false">SUM(I4:I10)</f>
        <v>680.8384</v>
      </c>
      <c r="J11" s="33" t="n">
        <f aca="false">SUM(J4:J10)</f>
        <v>1630.4288</v>
      </c>
      <c r="K11" s="33" t="n">
        <f aca="false">SUM(K4:K10)</f>
        <v>815.2144</v>
      </c>
      <c r="L11" s="33" t="n">
        <f aca="false">SUM(L4:L10)</f>
        <v>815.2144</v>
      </c>
      <c r="M11" s="21" t="n">
        <f aca="false">SUM(M4:M10)</f>
        <v>74300.9696</v>
      </c>
      <c r="N11" s="22"/>
    </row>
    <row r="25" customFormat="false" ht="15" hidden="false" customHeight="true" outlineLevel="0" collapsed="false">
      <c r="A25" s="34" t="s">
        <v>107</v>
      </c>
    </row>
    <row r="26" customFormat="false" ht="29.25" hidden="false" customHeight="true" outlineLevel="0" collapsed="false">
      <c r="A26" s="35" t="s">
        <v>108</v>
      </c>
      <c r="B26" s="36" t="s">
        <v>109</v>
      </c>
      <c r="C26" s="36" t="s">
        <v>110</v>
      </c>
      <c r="D26" s="36" t="s">
        <v>111</v>
      </c>
      <c r="E26" s="36" t="s">
        <v>112</v>
      </c>
    </row>
    <row r="27" customFormat="false" ht="15" hidden="false" customHeight="true" outlineLevel="0" collapsed="false">
      <c r="A27" s="37" t="s">
        <v>113</v>
      </c>
      <c r="B27" s="38" t="s">
        <v>63</v>
      </c>
      <c r="C27" s="39" t="n">
        <v>12649</v>
      </c>
      <c r="D27" s="40" t="n">
        <v>12611</v>
      </c>
      <c r="E27" s="41" t="n">
        <v>-38</v>
      </c>
    </row>
    <row r="28" customFormat="false" ht="15" hidden="false" customHeight="true" outlineLevel="0" collapsed="false">
      <c r="A28" s="37" t="s">
        <v>114</v>
      </c>
      <c r="B28" s="38" t="s">
        <v>115</v>
      </c>
      <c r="C28" s="38"/>
      <c r="D28" s="38"/>
      <c r="E28" s="41" t="n">
        <v>0</v>
      </c>
    </row>
    <row r="29" customFormat="false" ht="15" hidden="false" customHeight="true" outlineLevel="0" collapsed="false">
      <c r="A29" s="37" t="s">
        <v>114</v>
      </c>
      <c r="B29" s="38" t="s">
        <v>116</v>
      </c>
      <c r="C29" s="39" t="n">
        <v>11439</v>
      </c>
      <c r="D29" s="40" t="n">
        <v>11748</v>
      </c>
      <c r="E29" s="41" t="n">
        <v>309</v>
      </c>
    </row>
    <row r="30" customFormat="false" ht="15" hidden="false" customHeight="true" outlineLevel="0" collapsed="false">
      <c r="A30" s="37" t="s">
        <v>117</v>
      </c>
      <c r="B30" s="38" t="s">
        <v>118</v>
      </c>
      <c r="C30" s="39" t="n">
        <v>16128</v>
      </c>
      <c r="D30" s="41" t="n">
        <v>16212</v>
      </c>
      <c r="E30" s="41" t="n">
        <v>84</v>
      </c>
    </row>
    <row r="31" customFormat="false" ht="15" hidden="false" customHeight="true" outlineLevel="0" collapsed="false">
      <c r="A31" s="37" t="s">
        <v>119</v>
      </c>
      <c r="B31" s="38" t="s">
        <v>120</v>
      </c>
      <c r="C31" s="38"/>
      <c r="D31" s="38"/>
      <c r="E31" s="41" t="n">
        <v>0</v>
      </c>
    </row>
    <row r="32" customFormat="false" ht="15" hidden="false" customHeight="true" outlineLevel="0" collapsed="false">
      <c r="A32" s="37" t="s">
        <v>119</v>
      </c>
      <c r="B32" s="38" t="s">
        <v>121</v>
      </c>
      <c r="C32" s="38"/>
      <c r="D32" s="38"/>
      <c r="E32" s="41" t="n">
        <v>0</v>
      </c>
    </row>
    <row r="33" customFormat="false" ht="15" hidden="false" customHeight="true" outlineLevel="0" collapsed="false">
      <c r="A33" s="37" t="s">
        <v>119</v>
      </c>
      <c r="B33" s="38" t="s">
        <v>122</v>
      </c>
      <c r="C33" s="38"/>
      <c r="D33" s="38"/>
      <c r="E33" s="41" t="n">
        <v>0</v>
      </c>
    </row>
    <row r="34" customFormat="false" ht="15" hidden="false" customHeight="true" outlineLevel="0" collapsed="false">
      <c r="A34" s="37" t="s">
        <v>119</v>
      </c>
      <c r="B34" s="38" t="s">
        <v>123</v>
      </c>
      <c r="C34" s="39" t="n">
        <v>22689</v>
      </c>
      <c r="D34" s="41" t="n">
        <v>22827</v>
      </c>
      <c r="E34" s="41" t="n">
        <v>138</v>
      </c>
    </row>
    <row r="35" customFormat="false" ht="15" hidden="false" customHeight="true" outlineLevel="0" collapsed="false">
      <c r="A35" s="37" t="s">
        <v>124</v>
      </c>
      <c r="B35" s="38" t="s">
        <v>69</v>
      </c>
      <c r="C35" s="39" t="n">
        <v>6277</v>
      </c>
      <c r="D35" s="40" t="n">
        <v>6329</v>
      </c>
      <c r="E35" s="41" t="n">
        <v>52</v>
      </c>
    </row>
    <row r="36" customFormat="false" ht="15" hidden="false" customHeight="true" outlineLevel="0" collapsed="false">
      <c r="A36" s="37" t="s">
        <v>125</v>
      </c>
      <c r="B36" s="38" t="s">
        <v>67</v>
      </c>
      <c r="C36" s="39" t="n">
        <v>10773</v>
      </c>
      <c r="D36" s="41" t="n">
        <v>10788</v>
      </c>
      <c r="E36" s="41" t="n">
        <v>15</v>
      </c>
    </row>
    <row r="37" customFormat="false" ht="15" hidden="false" customHeight="true" outlineLevel="0" collapsed="false">
      <c r="A37" s="37" t="s">
        <v>126</v>
      </c>
      <c r="B37" s="38" t="s">
        <v>127</v>
      </c>
      <c r="C37" s="38"/>
      <c r="D37" s="38"/>
      <c r="E37" s="41" t="n">
        <v>0</v>
      </c>
    </row>
    <row r="38" customFormat="false" ht="15" hidden="false" customHeight="true" outlineLevel="0" collapsed="false">
      <c r="A38" s="37" t="s">
        <v>126</v>
      </c>
      <c r="B38" s="38" t="s">
        <v>128</v>
      </c>
      <c r="C38" s="41" t="n">
        <v>8983</v>
      </c>
      <c r="D38" s="41" t="n">
        <v>9069</v>
      </c>
      <c r="E38" s="41" t="n">
        <v>86</v>
      </c>
    </row>
    <row r="39" customFormat="false" ht="15" hidden="false" customHeight="true" outlineLevel="0" collapsed="false">
      <c r="A39" s="37" t="s">
        <v>129</v>
      </c>
      <c r="B39" s="38"/>
      <c r="C39" s="39" t="n">
        <v>88938</v>
      </c>
      <c r="D39" s="39" t="n">
        <v>89584</v>
      </c>
      <c r="E39" s="41" t="n">
        <v>646</v>
      </c>
    </row>
    <row r="40" customFormat="false" ht="15" hidden="false" customHeight="true" outlineLevel="0" collapsed="false">
      <c r="A40" s="42"/>
      <c r="B40" s="42"/>
      <c r="C40" s="42"/>
      <c r="D40" s="42"/>
      <c r="E40" s="42"/>
    </row>
    <row r="41" customFormat="false" ht="15" hidden="false" customHeight="true" outlineLevel="0" collapsed="false">
      <c r="A41" s="37" t="s">
        <v>130</v>
      </c>
      <c r="B41" s="38"/>
      <c r="C41" s="41" t="n">
        <v>1349</v>
      </c>
      <c r="D41" s="41" t="n">
        <v>1359</v>
      </c>
      <c r="E41" s="41" t="n">
        <v>10</v>
      </c>
    </row>
    <row r="42" customFormat="false" ht="15" hidden="false" customHeight="true" outlineLevel="0" collapsed="false">
      <c r="A42" s="37" t="s">
        <v>131</v>
      </c>
      <c r="B42" s="38"/>
      <c r="C42" s="41" t="n">
        <v>1619</v>
      </c>
      <c r="D42" s="41" t="n">
        <v>1631</v>
      </c>
      <c r="E42" s="41" t="n">
        <v>12</v>
      </c>
    </row>
    <row r="43" customFormat="false" ht="15" hidden="false" customHeight="true" outlineLevel="0" collapsed="false">
      <c r="A43" s="42"/>
      <c r="B43" s="42"/>
      <c r="C43" s="42"/>
      <c r="D43" s="42"/>
      <c r="E43" s="42"/>
    </row>
    <row r="44" customFormat="false" ht="15" hidden="false" customHeight="true" outlineLevel="0" collapsed="false">
      <c r="A44" s="37" t="s">
        <v>132</v>
      </c>
      <c r="B44" s="38"/>
      <c r="C44" s="43" t="n">
        <v>2341737.54</v>
      </c>
      <c r="D44" s="43" t="n">
        <v>2358746.72</v>
      </c>
      <c r="E44" s="43" t="n">
        <v>17009.18</v>
      </c>
    </row>
  </sheetData>
  <mergeCells count="4">
    <mergeCell ref="A1:N1"/>
    <mergeCell ref="A2:N2"/>
    <mergeCell ref="A40:E40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E18" activeCellId="0" sqref="E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8"/>
  </cols>
  <sheetData>
    <row r="1" customFormat="false" ht="27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134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4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141</v>
      </c>
      <c r="H3" s="4" t="s">
        <v>142</v>
      </c>
      <c r="I3" s="4" t="s">
        <v>143</v>
      </c>
    </row>
    <row r="4" customFormat="false" ht="18" hidden="false" customHeight="true" outlineLevel="0" collapsed="false">
      <c r="A4" s="5" t="s">
        <v>144</v>
      </c>
      <c r="B4" s="9" t="n">
        <v>12</v>
      </c>
      <c r="C4" s="9" t="n">
        <v>12</v>
      </c>
      <c r="D4" s="9" t="n">
        <v>24</v>
      </c>
      <c r="E4" s="9" t="n">
        <v>12</v>
      </c>
      <c r="F4" s="9" t="n">
        <v>12</v>
      </c>
      <c r="G4" s="44" t="n">
        <v>0</v>
      </c>
      <c r="H4" s="9" t="n">
        <v>12</v>
      </c>
      <c r="I4" s="21" t="n">
        <f aca="false">SUM(B4:H4)</f>
        <v>84</v>
      </c>
    </row>
    <row r="5" customFormat="false" ht="18" hidden="false" customHeight="true" outlineLevel="0" collapsed="false">
      <c r="A5" s="5" t="s">
        <v>145</v>
      </c>
      <c r="B5" s="9" t="n">
        <v>36</v>
      </c>
      <c r="C5" s="9" t="n">
        <v>12</v>
      </c>
      <c r="D5" s="9" t="n">
        <v>24</v>
      </c>
      <c r="E5" s="9" t="n">
        <v>12</v>
      </c>
      <c r="F5" s="9" t="n">
        <v>12</v>
      </c>
      <c r="G5" s="44" t="n">
        <v>0</v>
      </c>
      <c r="H5" s="9" t="n">
        <v>36</v>
      </c>
      <c r="I5" s="21" t="n">
        <f aca="false">SUM(B5:H5)</f>
        <v>132</v>
      </c>
    </row>
    <row r="6" customFormat="false" ht="18" hidden="false" customHeight="true" outlineLevel="0" collapsed="false">
      <c r="A6" s="5" t="s">
        <v>146</v>
      </c>
      <c r="B6" s="9" t="n">
        <v>60</v>
      </c>
      <c r="C6" s="9" t="n">
        <v>12</v>
      </c>
      <c r="D6" s="9" t="n">
        <v>24</v>
      </c>
      <c r="E6" s="9" t="n">
        <v>12</v>
      </c>
      <c r="F6" s="9" t="n">
        <v>12</v>
      </c>
      <c r="G6" s="9" t="n">
        <v>12</v>
      </c>
      <c r="H6" s="44" t="n">
        <v>0</v>
      </c>
      <c r="I6" s="21" t="n">
        <f aca="false">SUM(B6:H6)</f>
        <v>132</v>
      </c>
    </row>
    <row r="7" customFormat="false" ht="18" hidden="false" customHeight="true" outlineLevel="0" collapsed="false">
      <c r="A7" s="5" t="s">
        <v>147</v>
      </c>
      <c r="B7" s="9" t="n">
        <v>72</v>
      </c>
      <c r="C7" s="9" t="n">
        <v>12</v>
      </c>
      <c r="D7" s="9" t="n">
        <v>24</v>
      </c>
      <c r="E7" s="9" t="n">
        <v>12</v>
      </c>
      <c r="F7" s="9" t="n">
        <v>12</v>
      </c>
      <c r="G7" s="9" t="n">
        <v>12</v>
      </c>
      <c r="H7" s="9" t="n">
        <v>24</v>
      </c>
      <c r="I7" s="21" t="n">
        <f aca="false">SUM(B7:H7)</f>
        <v>168</v>
      </c>
    </row>
    <row r="8" customFormat="false" ht="18" hidden="false" customHeight="true" outlineLevel="0" collapsed="false">
      <c r="A8" s="5" t="s">
        <v>148</v>
      </c>
      <c r="B8" s="44" t="n">
        <v>0</v>
      </c>
      <c r="C8" s="9" t="n">
        <v>12</v>
      </c>
      <c r="D8" s="9" t="n">
        <v>24</v>
      </c>
      <c r="E8" s="9" t="n">
        <v>12</v>
      </c>
      <c r="F8" s="9" t="n">
        <v>12</v>
      </c>
      <c r="G8" s="44" t="n">
        <v>0</v>
      </c>
      <c r="H8" s="9" t="n">
        <v>12</v>
      </c>
      <c r="I8" s="21" t="n">
        <f aca="false">SUM(B8:H8)</f>
        <v>72</v>
      </c>
    </row>
    <row r="9" customFormat="false" ht="18" hidden="false" customHeight="true" outlineLevel="0" collapsed="false">
      <c r="A9" s="5" t="s">
        <v>149</v>
      </c>
      <c r="B9" s="44" t="n">
        <v>0</v>
      </c>
      <c r="C9" s="9" t="n">
        <v>12</v>
      </c>
      <c r="D9" s="9" t="n">
        <v>24</v>
      </c>
      <c r="E9" s="9" t="n">
        <v>12</v>
      </c>
      <c r="F9" s="9" t="n">
        <v>12</v>
      </c>
      <c r="G9" s="44" t="n">
        <v>0</v>
      </c>
      <c r="H9" s="9" t="n">
        <v>48</v>
      </c>
      <c r="I9" s="21" t="n">
        <f aca="false">SUM(B9:H9)</f>
        <v>108</v>
      </c>
    </row>
    <row r="10" customFormat="false" ht="18" hidden="false" customHeight="true" outlineLevel="0" collapsed="false">
      <c r="A10" s="5" t="s">
        <v>150</v>
      </c>
      <c r="B10" s="9" t="n">
        <v>48</v>
      </c>
      <c r="C10" s="9" t="n">
        <v>12</v>
      </c>
      <c r="D10" s="9" t="n">
        <v>24</v>
      </c>
      <c r="E10" s="9" t="n">
        <v>12</v>
      </c>
      <c r="F10" s="9" t="n">
        <v>12</v>
      </c>
      <c r="G10" s="44" t="n">
        <v>0</v>
      </c>
      <c r="H10" s="44" t="n">
        <v>0</v>
      </c>
      <c r="I10" s="21" t="n">
        <f aca="false">SUM(B10:H10)</f>
        <v>108</v>
      </c>
    </row>
    <row r="11" customFormat="false" ht="18" hidden="false" customHeight="true" outlineLevel="0" collapsed="false">
      <c r="A11" s="5" t="s">
        <v>151</v>
      </c>
      <c r="B11" s="9" t="n">
        <v>48</v>
      </c>
      <c r="C11" s="9" t="n">
        <v>12</v>
      </c>
      <c r="D11" s="9" t="n">
        <v>24</v>
      </c>
      <c r="E11" s="9" t="n">
        <v>12</v>
      </c>
      <c r="F11" s="9" t="n">
        <v>12</v>
      </c>
      <c r="G11" s="9" t="n">
        <v>12</v>
      </c>
      <c r="H11" s="44" t="n">
        <v>0</v>
      </c>
      <c r="I11" s="21" t="n">
        <f aca="false">SUM(B11:H11)</f>
        <v>120</v>
      </c>
    </row>
    <row r="12" customFormat="false" ht="18" hidden="false" customHeight="true" outlineLevel="0" collapsed="false">
      <c r="A12" s="5" t="s">
        <v>152</v>
      </c>
      <c r="B12" s="9" t="n">
        <v>36</v>
      </c>
      <c r="C12" s="9" t="n">
        <v>12</v>
      </c>
      <c r="D12" s="9" t="n">
        <v>24</v>
      </c>
      <c r="E12" s="9" t="n">
        <v>12</v>
      </c>
      <c r="F12" s="9" t="n">
        <v>12</v>
      </c>
      <c r="G12" s="44" t="n">
        <v>0</v>
      </c>
      <c r="H12" s="9" t="n">
        <v>24</v>
      </c>
      <c r="I12" s="21" t="n">
        <f aca="false">SUM(B12:H12)</f>
        <v>120</v>
      </c>
    </row>
    <row r="13" customFormat="false" ht="18" hidden="false" customHeight="true" outlineLevel="0" collapsed="false">
      <c r="A13" s="5" t="s">
        <v>153</v>
      </c>
      <c r="B13" s="9" t="n">
        <v>36</v>
      </c>
      <c r="C13" s="9" t="n">
        <v>12</v>
      </c>
      <c r="D13" s="9" t="n">
        <v>24</v>
      </c>
      <c r="E13" s="9" t="n">
        <v>12</v>
      </c>
      <c r="F13" s="9" t="n">
        <v>12</v>
      </c>
      <c r="G13" s="44" t="n">
        <v>0</v>
      </c>
      <c r="H13" s="9" t="n">
        <v>48</v>
      </c>
      <c r="I13" s="21" t="n">
        <f aca="false">SUM(B13:H13)</f>
        <v>144</v>
      </c>
    </row>
    <row r="14" customFormat="false" ht="18" hidden="false" customHeight="true" outlineLevel="0" collapsed="false">
      <c r="A14" s="20" t="s">
        <v>154</v>
      </c>
      <c r="B14" s="21" t="n">
        <f aca="false">SUM(B4:B13)</f>
        <v>348</v>
      </c>
      <c r="C14" s="21" t="n">
        <f aca="false">SUM(C4:C13)</f>
        <v>120</v>
      </c>
      <c r="D14" s="21" t="n">
        <f aca="false">SUM(D4:D13)</f>
        <v>240</v>
      </c>
      <c r="E14" s="21" t="n">
        <f aca="false">SUM(E4:E13)</f>
        <v>120</v>
      </c>
      <c r="F14" s="21" t="n">
        <f aca="false">SUM(F4:F13)</f>
        <v>120</v>
      </c>
      <c r="G14" s="21" t="n">
        <f aca="false">SUM(G4:G13)</f>
        <v>36</v>
      </c>
      <c r="H14" s="21" t="n">
        <f aca="false">SUM(H4:H13)</f>
        <v>204</v>
      </c>
      <c r="I14" s="21" t="n">
        <f aca="false">SUM(I4:I13)</f>
        <v>1188</v>
      </c>
    </row>
    <row r="16" customFormat="false" ht="24" hidden="false" customHeight="true" outlineLevel="0" collapsed="false">
      <c r="A16" s="3" t="s">
        <v>155</v>
      </c>
      <c r="B16" s="3"/>
      <c r="C16" s="3"/>
      <c r="D16" s="3"/>
      <c r="E16" s="3"/>
      <c r="F16" s="3"/>
      <c r="G16" s="3"/>
      <c r="H16" s="3"/>
      <c r="I16" s="3"/>
    </row>
    <row r="17" customFormat="false" ht="30" hidden="false" customHeight="true" outlineLevel="0" collapsed="false">
      <c r="A17" s="4" t="s">
        <v>54</v>
      </c>
      <c r="B17" s="4" t="s">
        <v>156</v>
      </c>
      <c r="C17" s="4" t="s">
        <v>56</v>
      </c>
      <c r="D17" s="4" t="s">
        <v>57</v>
      </c>
      <c r="E17" s="4" t="s">
        <v>157</v>
      </c>
      <c r="F17" s="4" t="s">
        <v>158</v>
      </c>
      <c r="G17" s="4"/>
      <c r="H17" s="4"/>
      <c r="I17" s="4"/>
    </row>
    <row r="18" customFormat="false" ht="18" hidden="false" customHeight="true" outlineLevel="0" collapsed="false">
      <c r="A18" s="5" t="s">
        <v>59</v>
      </c>
      <c r="B18" s="18" t="n">
        <f aca="false">B14</f>
        <v>348</v>
      </c>
      <c r="C18" s="7" t="s">
        <v>60</v>
      </c>
      <c r="D18" s="7" t="s">
        <v>61</v>
      </c>
    </row>
    <row r="19" customFormat="false" ht="18" hidden="false" customHeight="true" outlineLevel="0" collapsed="false">
      <c r="A19" s="5" t="s">
        <v>137</v>
      </c>
      <c r="B19" s="18" t="n">
        <f aca="false">C14</f>
        <v>120</v>
      </c>
      <c r="C19" s="7" t="s">
        <v>60</v>
      </c>
      <c r="D19" s="7" t="s">
        <v>61</v>
      </c>
    </row>
    <row r="20" customFormat="false" ht="18" hidden="false" customHeight="true" outlineLevel="0" collapsed="false">
      <c r="A20" s="5" t="s">
        <v>62</v>
      </c>
      <c r="B20" s="18" t="n">
        <f aca="false">D14</f>
        <v>240</v>
      </c>
      <c r="C20" s="7" t="s">
        <v>64</v>
      </c>
      <c r="D20" s="7" t="s">
        <v>65</v>
      </c>
    </row>
    <row r="21" customFormat="false" ht="18" hidden="false" customHeight="true" outlineLevel="0" collapsed="false">
      <c r="A21" s="5" t="s">
        <v>159</v>
      </c>
      <c r="B21" s="18" t="n">
        <f aca="false">E14</f>
        <v>120</v>
      </c>
      <c r="C21" s="7" t="s">
        <v>64</v>
      </c>
      <c r="D21" s="7" t="s">
        <v>65</v>
      </c>
    </row>
    <row r="22" customFormat="false" ht="18" hidden="false" customHeight="true" outlineLevel="0" collapsed="false">
      <c r="A22" s="5" t="s">
        <v>140</v>
      </c>
      <c r="B22" s="18" t="n">
        <f aca="false">F14</f>
        <v>120</v>
      </c>
      <c r="C22" s="7" t="s">
        <v>64</v>
      </c>
      <c r="D22" s="7" t="s">
        <v>61</v>
      </c>
    </row>
    <row r="23" customFormat="false" ht="18" hidden="false" customHeight="true" outlineLevel="0" collapsed="false">
      <c r="A23" s="5" t="s">
        <v>160</v>
      </c>
      <c r="B23" s="18" t="n">
        <f aca="false">G14</f>
        <v>36</v>
      </c>
      <c r="C23" s="7" t="s">
        <v>64</v>
      </c>
      <c r="D23" s="7" t="s">
        <v>61</v>
      </c>
    </row>
    <row r="24" customFormat="false" ht="18" hidden="false" customHeight="true" outlineLevel="0" collapsed="false">
      <c r="A24" s="5" t="s">
        <v>66</v>
      </c>
      <c r="B24" s="18" t="n">
        <f aca="false">H14</f>
        <v>204</v>
      </c>
      <c r="C24" s="7" t="s">
        <v>64</v>
      </c>
      <c r="D24" s="7" t="s">
        <v>61</v>
      </c>
    </row>
    <row r="26" customFormat="false" ht="24" hidden="false" customHeight="true" outlineLevel="0" collapsed="false">
      <c r="A26" s="3" t="s">
        <v>161</v>
      </c>
      <c r="B26" s="3"/>
      <c r="C26" s="3"/>
      <c r="D26" s="3"/>
      <c r="E26" s="3"/>
      <c r="F26" s="3"/>
      <c r="G26" s="3"/>
      <c r="H26" s="3"/>
      <c r="I26" s="3"/>
    </row>
    <row r="27" customFormat="false" ht="18" hidden="false" customHeight="true" outlineLevel="0" collapsed="false">
      <c r="A27" s="5" t="s">
        <v>162</v>
      </c>
      <c r="B27" s="18" t="n">
        <f aca="false">I14</f>
        <v>1188</v>
      </c>
    </row>
    <row r="28" customFormat="false" ht="18" hidden="false" customHeight="true" outlineLevel="0" collapsed="false">
      <c r="A28" s="5" t="s">
        <v>163</v>
      </c>
      <c r="B28" s="31" t="n">
        <f aca="false">'Practice Allocations'!G11</f>
        <v>1361.6768</v>
      </c>
    </row>
    <row r="29" customFormat="false" ht="18" hidden="false" customHeight="true" outlineLevel="0" collapsed="false">
      <c r="A29" s="5" t="s">
        <v>164</v>
      </c>
      <c r="B29" s="31" t="n">
        <f aca="false">'Practice Allocations'!J11</f>
        <v>1630.4288</v>
      </c>
    </row>
    <row r="30" customFormat="false" ht="18" hidden="false" customHeight="true" outlineLevel="0" collapsed="false">
      <c r="A30" s="45" t="s">
        <v>165</v>
      </c>
      <c r="B30" s="46" t="n">
        <f aca="false">MAX(0,B28-B27)</f>
        <v>173.6768</v>
      </c>
    </row>
    <row r="31" customFormat="false" ht="18" hidden="false" customHeight="true" outlineLevel="0" collapsed="false">
      <c r="A31" s="47" t="s">
        <v>166</v>
      </c>
      <c r="B31" s="48" t="n">
        <f aca="false">MAX(0,B29-B27)</f>
        <v>442.4288</v>
      </c>
    </row>
  </sheetData>
  <mergeCells count="4">
    <mergeCell ref="A1:I1"/>
    <mergeCell ref="A2:I2"/>
    <mergeCell ref="A16:I16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L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8" min="5" style="0" width="1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27.75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5" t="s">
        <v>168</v>
      </c>
      <c r="B2" s="9" t="n">
        <v>1</v>
      </c>
      <c r="C2" s="5" t="s">
        <v>169</v>
      </c>
      <c r="D2" s="11" t="s">
        <v>170</v>
      </c>
      <c r="E2" s="5" t="s">
        <v>171</v>
      </c>
      <c r="F2" s="11" t="s">
        <v>172</v>
      </c>
    </row>
    <row r="4" customFormat="false" ht="30" hidden="false" customHeight="true" outlineLevel="0" collapsed="false">
      <c r="A4" s="4" t="s">
        <v>173</v>
      </c>
      <c r="B4" s="4" t="s">
        <v>135</v>
      </c>
      <c r="C4" s="4" t="s">
        <v>54</v>
      </c>
      <c r="D4" s="4" t="s">
        <v>174</v>
      </c>
      <c r="E4" s="4" t="s">
        <v>43</v>
      </c>
      <c r="F4" s="4" t="s">
        <v>175</v>
      </c>
      <c r="G4" s="4" t="s">
        <v>176</v>
      </c>
      <c r="H4" s="4" t="s">
        <v>177</v>
      </c>
      <c r="I4" s="4" t="s">
        <v>178</v>
      </c>
      <c r="J4" s="4" t="s">
        <v>179</v>
      </c>
      <c r="K4" s="4" t="s">
        <v>180</v>
      </c>
      <c r="L4" s="4" t="s">
        <v>181</v>
      </c>
    </row>
    <row r="5" customFormat="false" ht="18" hidden="false" customHeight="true" outlineLevel="0" collapsed="false">
      <c r="A5" s="7"/>
      <c r="B5" s="7"/>
      <c r="C5" s="7"/>
      <c r="D5" s="7"/>
      <c r="E5" s="7"/>
      <c r="F5" s="7"/>
      <c r="G5" s="18"/>
      <c r="H5" s="7"/>
      <c r="I5" s="7"/>
      <c r="J5" s="7"/>
      <c r="K5" s="7"/>
      <c r="L5" s="29"/>
    </row>
    <row r="6" customFormat="false" ht="18" hidden="false" customHeight="true" outlineLevel="0" collapsed="false">
      <c r="A6" s="49"/>
      <c r="B6" s="49"/>
      <c r="C6" s="49"/>
      <c r="D6" s="49"/>
      <c r="E6" s="49"/>
      <c r="F6" s="49"/>
      <c r="G6" s="44"/>
      <c r="H6" s="49"/>
      <c r="I6" s="49"/>
      <c r="J6" s="49"/>
      <c r="K6" s="49"/>
      <c r="L6" s="50"/>
    </row>
    <row r="7" customFormat="false" ht="18" hidden="false" customHeight="true" outlineLevel="0" collapsed="false">
      <c r="A7" s="7"/>
      <c r="B7" s="7"/>
      <c r="C7" s="7"/>
      <c r="D7" s="7"/>
      <c r="E7" s="7"/>
      <c r="F7" s="7"/>
      <c r="G7" s="18"/>
      <c r="H7" s="7"/>
      <c r="I7" s="7"/>
      <c r="J7" s="7"/>
      <c r="K7" s="7"/>
      <c r="L7" s="29"/>
    </row>
    <row r="8" customFormat="false" ht="18" hidden="false" customHeight="true" outlineLevel="0" collapsed="false">
      <c r="A8" s="49"/>
      <c r="B8" s="49"/>
      <c r="C8" s="49"/>
      <c r="D8" s="49"/>
      <c r="E8" s="49"/>
      <c r="F8" s="49"/>
      <c r="G8" s="44"/>
      <c r="H8" s="49"/>
      <c r="I8" s="49"/>
      <c r="J8" s="49"/>
      <c r="K8" s="49"/>
      <c r="L8" s="50"/>
    </row>
    <row r="9" customFormat="false" ht="18" hidden="false" customHeight="true" outlineLevel="0" collapsed="false">
      <c r="A9" s="7"/>
      <c r="B9" s="7"/>
      <c r="C9" s="7"/>
      <c r="D9" s="7"/>
      <c r="E9" s="7"/>
      <c r="F9" s="7"/>
      <c r="G9" s="18"/>
      <c r="H9" s="7"/>
      <c r="I9" s="7"/>
      <c r="J9" s="7"/>
      <c r="K9" s="7"/>
      <c r="L9" s="29"/>
    </row>
    <row r="10" customFormat="false" ht="18" hidden="false" customHeight="true" outlineLevel="0" collapsed="false">
      <c r="A10" s="49"/>
      <c r="B10" s="49"/>
      <c r="C10" s="49"/>
      <c r="D10" s="49"/>
      <c r="E10" s="49"/>
      <c r="F10" s="49"/>
      <c r="G10" s="44"/>
      <c r="H10" s="49"/>
      <c r="I10" s="49"/>
      <c r="J10" s="49"/>
      <c r="K10" s="49"/>
      <c r="L10" s="50"/>
    </row>
    <row r="11" customFormat="false" ht="18" hidden="false" customHeight="true" outlineLevel="0" collapsed="false">
      <c r="A11" s="7"/>
      <c r="B11" s="7"/>
      <c r="C11" s="7"/>
      <c r="D11" s="7"/>
      <c r="E11" s="7"/>
      <c r="F11" s="7"/>
      <c r="G11" s="18"/>
      <c r="H11" s="7"/>
      <c r="I11" s="7"/>
      <c r="J11" s="7"/>
      <c r="K11" s="7"/>
      <c r="L11" s="29"/>
    </row>
    <row r="12" customFormat="false" ht="18" hidden="false" customHeight="true" outlineLevel="0" collapsed="false">
      <c r="A12" s="49"/>
      <c r="B12" s="49"/>
      <c r="C12" s="49"/>
      <c r="D12" s="49"/>
      <c r="E12" s="49"/>
      <c r="F12" s="49"/>
      <c r="G12" s="44"/>
      <c r="H12" s="49"/>
      <c r="I12" s="49"/>
      <c r="J12" s="49"/>
      <c r="K12" s="49"/>
      <c r="L12" s="50"/>
    </row>
    <row r="13" customFormat="false" ht="18" hidden="false" customHeight="true" outlineLevel="0" collapsed="false">
      <c r="A13" s="7"/>
      <c r="B13" s="7"/>
      <c r="C13" s="7"/>
      <c r="D13" s="7"/>
      <c r="E13" s="7"/>
      <c r="F13" s="7"/>
      <c r="G13" s="18"/>
      <c r="H13" s="7"/>
      <c r="I13" s="7"/>
      <c r="J13" s="7"/>
      <c r="K13" s="7"/>
      <c r="L13" s="29"/>
    </row>
    <row r="14" customFormat="false" ht="18" hidden="false" customHeight="true" outlineLevel="0" collapsed="false">
      <c r="A14" s="49"/>
      <c r="B14" s="49"/>
      <c r="C14" s="49"/>
      <c r="D14" s="49"/>
      <c r="E14" s="49"/>
      <c r="F14" s="49"/>
      <c r="G14" s="44"/>
      <c r="H14" s="49"/>
      <c r="I14" s="49"/>
      <c r="J14" s="49"/>
      <c r="K14" s="49"/>
      <c r="L14" s="50"/>
    </row>
    <row r="15" customFormat="false" ht="18" hidden="false" customHeight="true" outlineLevel="0" collapsed="false">
      <c r="A15" s="7"/>
      <c r="B15" s="7"/>
      <c r="C15" s="7"/>
      <c r="D15" s="7"/>
      <c r="E15" s="7"/>
      <c r="F15" s="7"/>
      <c r="G15" s="18"/>
      <c r="H15" s="7"/>
      <c r="I15" s="7"/>
      <c r="J15" s="7"/>
      <c r="K15" s="7"/>
      <c r="L15" s="29"/>
    </row>
    <row r="16" customFormat="false" ht="18" hidden="false" customHeight="true" outlineLevel="0" collapsed="false">
      <c r="A16" s="49"/>
      <c r="B16" s="49"/>
      <c r="C16" s="49"/>
      <c r="D16" s="49"/>
      <c r="E16" s="49"/>
      <c r="F16" s="49"/>
      <c r="G16" s="44"/>
      <c r="H16" s="49"/>
      <c r="I16" s="49"/>
      <c r="J16" s="49"/>
      <c r="K16" s="49"/>
      <c r="L16" s="50"/>
    </row>
    <row r="17" customFormat="false" ht="18" hidden="false" customHeight="true" outlineLevel="0" collapsed="false">
      <c r="A17" s="7"/>
      <c r="B17" s="7"/>
      <c r="C17" s="7"/>
      <c r="D17" s="7"/>
      <c r="E17" s="7"/>
      <c r="F17" s="7"/>
      <c r="G17" s="18"/>
      <c r="H17" s="7"/>
      <c r="I17" s="7"/>
      <c r="J17" s="7"/>
      <c r="K17" s="7"/>
      <c r="L17" s="29"/>
    </row>
    <row r="18" customFormat="false" ht="18" hidden="false" customHeight="true" outlineLevel="0" collapsed="false">
      <c r="A18" s="49"/>
      <c r="B18" s="49"/>
      <c r="C18" s="49"/>
      <c r="D18" s="49"/>
      <c r="E18" s="49"/>
      <c r="F18" s="49"/>
      <c r="G18" s="44"/>
      <c r="H18" s="49"/>
      <c r="I18" s="49"/>
      <c r="J18" s="49"/>
      <c r="K18" s="49"/>
      <c r="L18" s="50"/>
    </row>
    <row r="19" customFormat="false" ht="18" hidden="false" customHeight="true" outlineLevel="0" collapsed="false">
      <c r="A19" s="7"/>
      <c r="B19" s="7"/>
      <c r="C19" s="7"/>
      <c r="D19" s="7"/>
      <c r="E19" s="7"/>
      <c r="F19" s="7"/>
      <c r="G19" s="18"/>
      <c r="H19" s="7"/>
      <c r="I19" s="7"/>
      <c r="J19" s="7"/>
      <c r="K19" s="7"/>
      <c r="L19" s="29"/>
    </row>
    <row r="20" customFormat="false" ht="18" hidden="false" customHeight="true" outlineLevel="0" collapsed="false">
      <c r="A20" s="49"/>
      <c r="B20" s="49"/>
      <c r="C20" s="49"/>
      <c r="D20" s="49"/>
      <c r="E20" s="49"/>
      <c r="F20" s="49"/>
      <c r="G20" s="44"/>
      <c r="H20" s="49"/>
      <c r="I20" s="49"/>
      <c r="J20" s="49"/>
      <c r="K20" s="49"/>
      <c r="L20" s="50"/>
    </row>
    <row r="21" customFormat="false" ht="18" hidden="false" customHeight="true" outlineLevel="0" collapsed="false">
      <c r="A21" s="7"/>
      <c r="B21" s="7"/>
      <c r="C21" s="7"/>
      <c r="D21" s="7"/>
      <c r="E21" s="7"/>
      <c r="F21" s="7"/>
      <c r="G21" s="18"/>
      <c r="H21" s="7"/>
      <c r="I21" s="7"/>
      <c r="J21" s="7"/>
      <c r="K21" s="7"/>
      <c r="L21" s="29"/>
    </row>
    <row r="22" customFormat="false" ht="18" hidden="false" customHeight="true" outlineLevel="0" collapsed="false">
      <c r="A22" s="49"/>
      <c r="B22" s="49"/>
      <c r="C22" s="49"/>
      <c r="D22" s="49"/>
      <c r="E22" s="49"/>
      <c r="F22" s="49"/>
      <c r="G22" s="44"/>
      <c r="H22" s="49"/>
      <c r="I22" s="49"/>
      <c r="J22" s="49"/>
      <c r="K22" s="49"/>
      <c r="L22" s="50"/>
    </row>
    <row r="23" customFormat="false" ht="18" hidden="false" customHeight="true" outlineLevel="0" collapsed="false">
      <c r="A23" s="7"/>
      <c r="B23" s="7"/>
      <c r="C23" s="7"/>
      <c r="D23" s="7"/>
      <c r="E23" s="7"/>
      <c r="F23" s="7"/>
      <c r="G23" s="18"/>
      <c r="H23" s="7"/>
      <c r="I23" s="7"/>
      <c r="J23" s="7"/>
      <c r="K23" s="7"/>
      <c r="L23" s="29"/>
    </row>
    <row r="24" customFormat="false" ht="18" hidden="false" customHeight="true" outlineLevel="0" collapsed="false">
      <c r="A24" s="49"/>
      <c r="B24" s="49"/>
      <c r="C24" s="49"/>
      <c r="D24" s="49"/>
      <c r="E24" s="49"/>
      <c r="F24" s="49"/>
      <c r="G24" s="44"/>
      <c r="H24" s="49"/>
      <c r="I24" s="49"/>
      <c r="J24" s="49"/>
      <c r="K24" s="49"/>
      <c r="L24" s="50"/>
    </row>
    <row r="25" customFormat="false" ht="18" hidden="false" customHeight="true" outlineLevel="0" collapsed="false">
      <c r="A25" s="7"/>
      <c r="B25" s="7"/>
      <c r="C25" s="7"/>
      <c r="D25" s="7"/>
      <c r="E25" s="7"/>
      <c r="F25" s="7"/>
      <c r="G25" s="18"/>
      <c r="H25" s="7"/>
      <c r="I25" s="7"/>
      <c r="J25" s="7"/>
      <c r="K25" s="7"/>
      <c r="L25" s="29"/>
    </row>
    <row r="26" customFormat="false" ht="18" hidden="false" customHeight="true" outlineLevel="0" collapsed="false">
      <c r="A26" s="49"/>
      <c r="B26" s="49"/>
      <c r="C26" s="49"/>
      <c r="D26" s="49"/>
      <c r="E26" s="49"/>
      <c r="F26" s="49"/>
      <c r="G26" s="44"/>
      <c r="H26" s="49"/>
      <c r="I26" s="49"/>
      <c r="J26" s="49"/>
      <c r="K26" s="49"/>
      <c r="L26" s="50"/>
    </row>
    <row r="27" customFormat="false" ht="18" hidden="false" customHeight="true" outlineLevel="0" collapsed="false">
      <c r="A27" s="7"/>
      <c r="B27" s="7"/>
      <c r="C27" s="7"/>
      <c r="D27" s="7"/>
      <c r="E27" s="7"/>
      <c r="F27" s="7"/>
      <c r="G27" s="18"/>
      <c r="H27" s="7"/>
      <c r="I27" s="7"/>
      <c r="J27" s="7"/>
      <c r="K27" s="7"/>
      <c r="L27" s="29"/>
    </row>
    <row r="28" customFormat="false" ht="18" hidden="false" customHeight="true" outlineLevel="0" collapsed="false">
      <c r="A28" s="49"/>
      <c r="B28" s="49"/>
      <c r="C28" s="49"/>
      <c r="D28" s="49"/>
      <c r="E28" s="49"/>
      <c r="F28" s="49"/>
      <c r="G28" s="44"/>
      <c r="H28" s="49"/>
      <c r="I28" s="49"/>
      <c r="J28" s="49"/>
      <c r="K28" s="49"/>
      <c r="L28" s="50"/>
    </row>
    <row r="29" customFormat="false" ht="18" hidden="false" customHeight="true" outlineLevel="0" collapsed="false">
      <c r="A29" s="7"/>
      <c r="B29" s="7"/>
      <c r="C29" s="7"/>
      <c r="D29" s="7"/>
      <c r="E29" s="7"/>
      <c r="F29" s="7"/>
      <c r="G29" s="18"/>
      <c r="H29" s="7"/>
      <c r="I29" s="7"/>
      <c r="J29" s="7"/>
      <c r="K29" s="7"/>
      <c r="L29" s="29"/>
    </row>
    <row r="30" customFormat="false" ht="18" hidden="false" customHeight="true" outlineLevel="0" collapsed="false">
      <c r="A30" s="49"/>
      <c r="B30" s="49"/>
      <c r="C30" s="49"/>
      <c r="D30" s="49"/>
      <c r="E30" s="49"/>
      <c r="F30" s="49"/>
      <c r="G30" s="44"/>
      <c r="H30" s="49"/>
      <c r="I30" s="49"/>
      <c r="J30" s="49"/>
      <c r="K30" s="49"/>
      <c r="L30" s="50"/>
    </row>
    <row r="31" customFormat="false" ht="18" hidden="false" customHeight="true" outlineLevel="0" collapsed="false">
      <c r="A31" s="7"/>
      <c r="B31" s="7"/>
      <c r="C31" s="7"/>
      <c r="D31" s="7"/>
      <c r="E31" s="7"/>
      <c r="F31" s="7"/>
      <c r="G31" s="18"/>
      <c r="H31" s="7"/>
      <c r="I31" s="7"/>
      <c r="J31" s="7"/>
      <c r="K31" s="7"/>
      <c r="L31" s="29"/>
    </row>
    <row r="32" customFormat="false" ht="18" hidden="false" customHeight="true" outlineLevel="0" collapsed="false">
      <c r="A32" s="49"/>
      <c r="B32" s="49"/>
      <c r="C32" s="49"/>
      <c r="D32" s="49"/>
      <c r="E32" s="49"/>
      <c r="F32" s="49"/>
      <c r="G32" s="44"/>
      <c r="H32" s="49"/>
      <c r="I32" s="49"/>
      <c r="J32" s="49"/>
      <c r="K32" s="49"/>
      <c r="L32" s="50"/>
    </row>
    <row r="33" customFormat="false" ht="18" hidden="false" customHeight="true" outlineLevel="0" collapsed="false">
      <c r="A33" s="7"/>
      <c r="B33" s="7"/>
      <c r="C33" s="7"/>
      <c r="D33" s="7"/>
      <c r="E33" s="7"/>
      <c r="F33" s="7"/>
      <c r="G33" s="18"/>
      <c r="H33" s="7"/>
      <c r="I33" s="7"/>
      <c r="J33" s="7"/>
      <c r="K33" s="7"/>
      <c r="L33" s="29"/>
    </row>
    <row r="34" customFormat="false" ht="18" hidden="false" customHeight="true" outlineLevel="0" collapsed="false">
      <c r="A34" s="49"/>
      <c r="B34" s="49"/>
      <c r="C34" s="49"/>
      <c r="D34" s="49"/>
      <c r="E34" s="49"/>
      <c r="F34" s="49"/>
      <c r="G34" s="44"/>
      <c r="H34" s="49"/>
      <c r="I34" s="49"/>
      <c r="J34" s="49"/>
      <c r="K34" s="49"/>
      <c r="L34" s="50"/>
    </row>
    <row r="35" customFormat="false" ht="18" hidden="false" customHeight="true" outlineLevel="0" collapsed="false">
      <c r="A35" s="7"/>
      <c r="B35" s="7"/>
      <c r="C35" s="7"/>
      <c r="D35" s="7"/>
      <c r="E35" s="7"/>
      <c r="F35" s="7"/>
      <c r="G35" s="18"/>
      <c r="H35" s="7"/>
      <c r="I35" s="7"/>
      <c r="J35" s="7"/>
      <c r="K35" s="7"/>
      <c r="L35" s="29"/>
    </row>
    <row r="36" customFormat="false" ht="18" hidden="false" customHeight="true" outlineLevel="0" collapsed="false">
      <c r="A36" s="49"/>
      <c r="B36" s="49"/>
      <c r="C36" s="49"/>
      <c r="D36" s="49"/>
      <c r="E36" s="49"/>
      <c r="F36" s="49"/>
      <c r="G36" s="44"/>
      <c r="H36" s="49"/>
      <c r="I36" s="49"/>
      <c r="J36" s="49"/>
      <c r="K36" s="49"/>
      <c r="L36" s="50"/>
    </row>
    <row r="37" customFormat="false" ht="18" hidden="false" customHeight="true" outlineLevel="0" collapsed="false">
      <c r="A37" s="7"/>
      <c r="B37" s="7"/>
      <c r="C37" s="7"/>
      <c r="D37" s="7"/>
      <c r="E37" s="7"/>
      <c r="F37" s="7"/>
      <c r="G37" s="18"/>
      <c r="H37" s="7"/>
      <c r="I37" s="7"/>
      <c r="J37" s="7"/>
      <c r="K37" s="7"/>
      <c r="L37" s="29"/>
    </row>
    <row r="38" customFormat="false" ht="18" hidden="false" customHeight="true" outlineLevel="0" collapsed="false">
      <c r="A38" s="49"/>
      <c r="B38" s="49"/>
      <c r="C38" s="49"/>
      <c r="D38" s="49"/>
      <c r="E38" s="49"/>
      <c r="F38" s="49"/>
      <c r="G38" s="44"/>
      <c r="H38" s="49"/>
      <c r="I38" s="49"/>
      <c r="J38" s="49"/>
      <c r="K38" s="49"/>
      <c r="L38" s="50"/>
    </row>
    <row r="39" customFormat="false" ht="18" hidden="false" customHeight="true" outlineLevel="0" collapsed="false">
      <c r="A39" s="7"/>
      <c r="B39" s="7"/>
      <c r="C39" s="7"/>
      <c r="D39" s="7"/>
      <c r="E39" s="7"/>
      <c r="F39" s="7"/>
      <c r="G39" s="18"/>
      <c r="H39" s="7"/>
      <c r="I39" s="7"/>
      <c r="J39" s="7"/>
      <c r="K39" s="7"/>
      <c r="L39" s="29"/>
    </row>
    <row r="40" customFormat="false" ht="18" hidden="false" customHeight="true" outlineLevel="0" collapsed="false">
      <c r="A40" s="49"/>
      <c r="B40" s="49"/>
      <c r="C40" s="49"/>
      <c r="D40" s="49"/>
      <c r="E40" s="49"/>
      <c r="F40" s="49"/>
      <c r="G40" s="44"/>
      <c r="H40" s="49"/>
      <c r="I40" s="49"/>
      <c r="J40" s="49"/>
      <c r="K40" s="49"/>
      <c r="L40" s="50"/>
    </row>
    <row r="41" customFormat="false" ht="18" hidden="false" customHeight="true" outlineLevel="0" collapsed="false">
      <c r="A41" s="7"/>
      <c r="B41" s="7"/>
      <c r="C41" s="7"/>
      <c r="D41" s="7"/>
      <c r="E41" s="7"/>
      <c r="F41" s="7"/>
      <c r="G41" s="18"/>
      <c r="H41" s="7"/>
      <c r="I41" s="7"/>
      <c r="J41" s="7"/>
      <c r="K41" s="7"/>
      <c r="L41" s="29"/>
    </row>
    <row r="42" customFormat="false" ht="18" hidden="false" customHeight="true" outlineLevel="0" collapsed="false">
      <c r="A42" s="49"/>
      <c r="B42" s="49"/>
      <c r="C42" s="49"/>
      <c r="D42" s="49"/>
      <c r="E42" s="49"/>
      <c r="F42" s="49"/>
      <c r="G42" s="44"/>
      <c r="H42" s="49"/>
      <c r="I42" s="49"/>
      <c r="J42" s="49"/>
      <c r="K42" s="49"/>
      <c r="L42" s="50"/>
    </row>
    <row r="43" customFormat="false" ht="18" hidden="false" customHeight="true" outlineLevel="0" collapsed="false">
      <c r="A43" s="7"/>
      <c r="B43" s="7"/>
      <c r="C43" s="7"/>
      <c r="D43" s="7"/>
      <c r="E43" s="7"/>
      <c r="F43" s="7"/>
      <c r="G43" s="18"/>
      <c r="H43" s="7"/>
      <c r="I43" s="7"/>
      <c r="J43" s="7"/>
      <c r="K43" s="7"/>
      <c r="L43" s="29"/>
    </row>
    <row r="44" customFormat="false" ht="18" hidden="false" customHeight="true" outlineLevel="0" collapsed="false">
      <c r="A44" s="49"/>
      <c r="B44" s="49"/>
      <c r="C44" s="49"/>
      <c r="D44" s="49"/>
      <c r="E44" s="49"/>
      <c r="F44" s="49"/>
      <c r="G44" s="44"/>
      <c r="H44" s="49"/>
      <c r="I44" s="49"/>
      <c r="J44" s="49"/>
      <c r="K44" s="49"/>
      <c r="L44" s="50"/>
    </row>
    <row r="45" customFormat="false" ht="18" hidden="false" customHeight="true" outlineLevel="0" collapsed="false">
      <c r="A45" s="7"/>
      <c r="B45" s="7"/>
      <c r="C45" s="7"/>
      <c r="D45" s="7"/>
      <c r="E45" s="7"/>
      <c r="F45" s="7"/>
      <c r="G45" s="18"/>
      <c r="H45" s="7"/>
      <c r="I45" s="7"/>
      <c r="J45" s="7"/>
      <c r="K45" s="7"/>
      <c r="L45" s="29"/>
    </row>
    <row r="46" customFormat="false" ht="18" hidden="false" customHeight="true" outlineLevel="0" collapsed="false">
      <c r="A46" s="49"/>
      <c r="B46" s="49"/>
      <c r="C46" s="49"/>
      <c r="D46" s="49"/>
      <c r="E46" s="49"/>
      <c r="F46" s="49"/>
      <c r="G46" s="44"/>
      <c r="H46" s="49"/>
      <c r="I46" s="49"/>
      <c r="J46" s="49"/>
      <c r="K46" s="49"/>
      <c r="L46" s="50"/>
    </row>
    <row r="47" customFormat="false" ht="18" hidden="false" customHeight="true" outlineLevel="0" collapsed="false">
      <c r="A47" s="7"/>
      <c r="B47" s="7"/>
      <c r="C47" s="7"/>
      <c r="D47" s="7"/>
      <c r="E47" s="7"/>
      <c r="F47" s="7"/>
      <c r="G47" s="18"/>
      <c r="H47" s="7"/>
      <c r="I47" s="7"/>
      <c r="J47" s="7"/>
      <c r="K47" s="7"/>
      <c r="L47" s="29"/>
    </row>
    <row r="48" customFormat="false" ht="18" hidden="false" customHeight="true" outlineLevel="0" collapsed="false">
      <c r="A48" s="49"/>
      <c r="B48" s="49"/>
      <c r="C48" s="49"/>
      <c r="D48" s="49"/>
      <c r="E48" s="49"/>
      <c r="F48" s="49"/>
      <c r="G48" s="44"/>
      <c r="H48" s="49"/>
      <c r="I48" s="49"/>
      <c r="J48" s="49"/>
      <c r="K48" s="49"/>
      <c r="L48" s="50"/>
    </row>
    <row r="49" customFormat="false" ht="18" hidden="false" customHeight="true" outlineLevel="0" collapsed="false">
      <c r="A49" s="7"/>
      <c r="B49" s="7"/>
      <c r="C49" s="7"/>
      <c r="D49" s="7"/>
      <c r="E49" s="7"/>
      <c r="F49" s="7"/>
      <c r="G49" s="18"/>
      <c r="H49" s="7"/>
      <c r="I49" s="7"/>
      <c r="J49" s="7"/>
      <c r="K49" s="7"/>
      <c r="L49" s="29"/>
    </row>
    <row r="50" customFormat="false" ht="18" hidden="false" customHeight="true" outlineLevel="0" collapsed="false">
      <c r="A50" s="49"/>
      <c r="B50" s="49"/>
      <c r="C50" s="49"/>
      <c r="D50" s="49"/>
      <c r="E50" s="49"/>
      <c r="F50" s="49"/>
      <c r="G50" s="44"/>
      <c r="H50" s="49"/>
      <c r="I50" s="49"/>
      <c r="J50" s="49"/>
      <c r="K50" s="49"/>
      <c r="L50" s="50"/>
    </row>
    <row r="51" customFormat="false" ht="18" hidden="false" customHeight="true" outlineLevel="0" collapsed="false">
      <c r="A51" s="7"/>
      <c r="B51" s="7"/>
      <c r="C51" s="7"/>
      <c r="D51" s="7"/>
      <c r="E51" s="7"/>
      <c r="F51" s="7"/>
      <c r="G51" s="18"/>
      <c r="H51" s="7"/>
      <c r="I51" s="7"/>
      <c r="J51" s="7"/>
      <c r="K51" s="7"/>
      <c r="L51" s="29"/>
    </row>
    <row r="52" customFormat="false" ht="18" hidden="false" customHeight="true" outlineLevel="0" collapsed="false">
      <c r="A52" s="49"/>
      <c r="B52" s="49"/>
      <c r="C52" s="49"/>
      <c r="D52" s="49"/>
      <c r="E52" s="49"/>
      <c r="F52" s="49"/>
      <c r="G52" s="44"/>
      <c r="H52" s="49"/>
      <c r="I52" s="49"/>
      <c r="J52" s="49"/>
      <c r="K52" s="49"/>
      <c r="L52" s="50"/>
    </row>
    <row r="53" customFormat="false" ht="18" hidden="false" customHeight="true" outlineLevel="0" collapsed="false">
      <c r="A53" s="7"/>
      <c r="B53" s="7"/>
      <c r="C53" s="7"/>
      <c r="D53" s="7"/>
      <c r="E53" s="7"/>
      <c r="F53" s="7"/>
      <c r="G53" s="18"/>
      <c r="H53" s="7"/>
      <c r="I53" s="7"/>
      <c r="J53" s="7"/>
      <c r="K53" s="7"/>
      <c r="L53" s="29"/>
    </row>
    <row r="54" customFormat="false" ht="18" hidden="false" customHeight="true" outlineLevel="0" collapsed="false">
      <c r="A54" s="49"/>
      <c r="B54" s="49"/>
      <c r="C54" s="49"/>
      <c r="D54" s="49"/>
      <c r="E54" s="49"/>
      <c r="F54" s="49"/>
      <c r="G54" s="44"/>
      <c r="H54" s="49"/>
      <c r="I54" s="49"/>
      <c r="J54" s="49"/>
      <c r="K54" s="49"/>
      <c r="L54" s="50"/>
    </row>
    <row r="55" customFormat="false" ht="18" hidden="false" customHeight="true" outlineLevel="0" collapsed="false">
      <c r="A55" s="7"/>
      <c r="B55" s="7"/>
      <c r="C55" s="7"/>
      <c r="D55" s="7"/>
      <c r="E55" s="7"/>
      <c r="F55" s="7"/>
      <c r="G55" s="18"/>
      <c r="H55" s="7"/>
      <c r="I55" s="7"/>
      <c r="J55" s="7"/>
      <c r="K55" s="7"/>
      <c r="L55" s="29"/>
    </row>
    <row r="56" customFormat="false" ht="18" hidden="false" customHeight="true" outlineLevel="0" collapsed="false">
      <c r="A56" s="49"/>
      <c r="B56" s="49"/>
      <c r="C56" s="49"/>
      <c r="D56" s="49"/>
      <c r="E56" s="49"/>
      <c r="F56" s="49"/>
      <c r="G56" s="44"/>
      <c r="H56" s="49"/>
      <c r="I56" s="49"/>
      <c r="J56" s="49"/>
      <c r="K56" s="49"/>
      <c r="L56" s="50"/>
    </row>
    <row r="57" customFormat="false" ht="18" hidden="false" customHeight="true" outlineLevel="0" collapsed="false">
      <c r="A57" s="7"/>
      <c r="B57" s="7"/>
      <c r="C57" s="7"/>
      <c r="D57" s="7"/>
      <c r="E57" s="7"/>
      <c r="F57" s="7"/>
      <c r="G57" s="18"/>
      <c r="H57" s="7"/>
      <c r="I57" s="7"/>
      <c r="J57" s="7"/>
      <c r="K57" s="7"/>
      <c r="L57" s="29"/>
    </row>
    <row r="58" customFormat="false" ht="18" hidden="false" customHeight="true" outlineLevel="0" collapsed="false">
      <c r="A58" s="49"/>
      <c r="B58" s="49"/>
      <c r="C58" s="49"/>
      <c r="D58" s="49"/>
      <c r="E58" s="49"/>
      <c r="F58" s="49"/>
      <c r="G58" s="44"/>
      <c r="H58" s="49"/>
      <c r="I58" s="49"/>
      <c r="J58" s="49"/>
      <c r="K58" s="49"/>
      <c r="L58" s="50"/>
    </row>
    <row r="59" customFormat="false" ht="18" hidden="false" customHeight="true" outlineLevel="0" collapsed="false">
      <c r="A59" s="7"/>
      <c r="B59" s="7"/>
      <c r="C59" s="7"/>
      <c r="D59" s="7"/>
      <c r="E59" s="7"/>
      <c r="F59" s="7"/>
      <c r="G59" s="18"/>
      <c r="H59" s="7"/>
      <c r="I59" s="7"/>
      <c r="J59" s="7"/>
      <c r="K59" s="7"/>
      <c r="L59" s="29"/>
    </row>
    <row r="60" customFormat="false" ht="18" hidden="false" customHeight="true" outlineLevel="0" collapsed="false">
      <c r="A60" s="49"/>
      <c r="B60" s="49"/>
      <c r="C60" s="49"/>
      <c r="D60" s="49"/>
      <c r="E60" s="49"/>
      <c r="F60" s="49"/>
      <c r="G60" s="44"/>
      <c r="H60" s="49"/>
      <c r="I60" s="49"/>
      <c r="J60" s="49"/>
      <c r="K60" s="49"/>
      <c r="L60" s="50"/>
    </row>
    <row r="61" customFormat="false" ht="18" hidden="false" customHeight="true" outlineLevel="0" collapsed="false">
      <c r="A61" s="7"/>
      <c r="B61" s="7"/>
      <c r="C61" s="7"/>
      <c r="D61" s="7"/>
      <c r="E61" s="7"/>
      <c r="F61" s="7"/>
      <c r="G61" s="18"/>
      <c r="H61" s="7"/>
      <c r="I61" s="7"/>
      <c r="J61" s="7"/>
      <c r="K61" s="7"/>
      <c r="L61" s="29"/>
    </row>
    <row r="62" customFormat="false" ht="18" hidden="false" customHeight="true" outlineLevel="0" collapsed="false">
      <c r="A62" s="49"/>
      <c r="B62" s="49"/>
      <c r="C62" s="49"/>
      <c r="D62" s="49"/>
      <c r="E62" s="49"/>
      <c r="F62" s="49"/>
      <c r="G62" s="44"/>
      <c r="H62" s="49"/>
      <c r="I62" s="49"/>
      <c r="J62" s="49"/>
      <c r="K62" s="49"/>
      <c r="L62" s="50"/>
    </row>
    <row r="63" customFormat="false" ht="18" hidden="false" customHeight="true" outlineLevel="0" collapsed="false">
      <c r="A63" s="7"/>
      <c r="B63" s="7"/>
      <c r="C63" s="7"/>
      <c r="D63" s="7"/>
      <c r="E63" s="7"/>
      <c r="F63" s="7"/>
      <c r="G63" s="18"/>
      <c r="H63" s="7"/>
      <c r="I63" s="7"/>
      <c r="J63" s="7"/>
      <c r="K63" s="7"/>
      <c r="L63" s="29"/>
    </row>
    <row r="64" customFormat="false" ht="18" hidden="false" customHeight="true" outlineLevel="0" collapsed="false">
      <c r="A64" s="49"/>
      <c r="B64" s="49"/>
      <c r="C64" s="49"/>
      <c r="D64" s="49"/>
      <c r="E64" s="49"/>
      <c r="F64" s="49"/>
      <c r="G64" s="44"/>
      <c r="H64" s="49"/>
      <c r="I64" s="49"/>
      <c r="J64" s="49"/>
      <c r="K64" s="49"/>
      <c r="L64" s="50"/>
    </row>
    <row r="65" customFormat="false" ht="18" hidden="false" customHeight="true" outlineLevel="0" collapsed="false">
      <c r="A65" s="7"/>
      <c r="B65" s="7"/>
      <c r="C65" s="7"/>
      <c r="D65" s="7"/>
      <c r="E65" s="7"/>
      <c r="F65" s="7"/>
      <c r="G65" s="18"/>
      <c r="H65" s="7"/>
      <c r="I65" s="7"/>
      <c r="J65" s="7"/>
      <c r="K65" s="7"/>
      <c r="L65" s="29"/>
    </row>
    <row r="66" customFormat="false" ht="18" hidden="false" customHeight="true" outlineLevel="0" collapsed="false">
      <c r="A66" s="49"/>
      <c r="B66" s="49"/>
      <c r="C66" s="49"/>
      <c r="D66" s="49"/>
      <c r="E66" s="49"/>
      <c r="F66" s="49"/>
      <c r="G66" s="44"/>
      <c r="H66" s="49"/>
      <c r="I66" s="49"/>
      <c r="J66" s="49"/>
      <c r="K66" s="49"/>
      <c r="L66" s="50"/>
    </row>
    <row r="67" customFormat="false" ht="18" hidden="false" customHeight="true" outlineLevel="0" collapsed="false">
      <c r="A67" s="7"/>
      <c r="B67" s="7"/>
      <c r="C67" s="7"/>
      <c r="D67" s="7"/>
      <c r="E67" s="7"/>
      <c r="F67" s="7"/>
      <c r="G67" s="18"/>
      <c r="H67" s="7"/>
      <c r="I67" s="7"/>
      <c r="J67" s="7"/>
      <c r="K67" s="7"/>
      <c r="L67" s="29"/>
    </row>
    <row r="68" customFormat="false" ht="18" hidden="false" customHeight="true" outlineLevel="0" collapsed="false">
      <c r="A68" s="49"/>
      <c r="B68" s="49"/>
      <c r="C68" s="49"/>
      <c r="D68" s="49"/>
      <c r="E68" s="49"/>
      <c r="F68" s="49"/>
      <c r="G68" s="44"/>
      <c r="H68" s="49"/>
      <c r="I68" s="49"/>
      <c r="J68" s="49"/>
      <c r="K68" s="49"/>
      <c r="L68" s="50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18"/>
      <c r="H69" s="7"/>
      <c r="I69" s="7"/>
      <c r="J69" s="7"/>
      <c r="K69" s="7"/>
      <c r="L69" s="29"/>
    </row>
    <row r="70" customFormat="false" ht="18" hidden="false" customHeight="true" outlineLevel="0" collapsed="false">
      <c r="A70" s="49"/>
      <c r="B70" s="49"/>
      <c r="C70" s="49"/>
      <c r="D70" s="49"/>
      <c r="E70" s="49"/>
      <c r="F70" s="49"/>
      <c r="G70" s="44"/>
      <c r="H70" s="49"/>
      <c r="I70" s="49"/>
      <c r="J70" s="49"/>
      <c r="K70" s="49"/>
      <c r="L70" s="50"/>
    </row>
    <row r="71" customFormat="false" ht="18" hidden="false" customHeight="true" outlineLevel="0" collapsed="false">
      <c r="A71" s="7"/>
      <c r="B71" s="7"/>
      <c r="C71" s="7"/>
      <c r="D71" s="7"/>
      <c r="E71" s="7"/>
      <c r="F71" s="7"/>
      <c r="G71" s="18"/>
      <c r="H71" s="7"/>
      <c r="I71" s="7"/>
      <c r="J71" s="7"/>
      <c r="K71" s="7"/>
      <c r="L71" s="29"/>
    </row>
    <row r="72" customFormat="false" ht="18" hidden="false" customHeight="true" outlineLevel="0" collapsed="false">
      <c r="A72" s="49"/>
      <c r="B72" s="49"/>
      <c r="C72" s="49"/>
      <c r="D72" s="49"/>
      <c r="E72" s="49"/>
      <c r="F72" s="49"/>
      <c r="G72" s="44"/>
      <c r="H72" s="49"/>
      <c r="I72" s="49"/>
      <c r="J72" s="49"/>
      <c r="K72" s="49"/>
      <c r="L72" s="50"/>
    </row>
    <row r="73" customFormat="false" ht="18" hidden="false" customHeight="true" outlineLevel="0" collapsed="false">
      <c r="A73" s="7"/>
      <c r="B73" s="7"/>
      <c r="C73" s="7"/>
      <c r="D73" s="7"/>
      <c r="E73" s="7"/>
      <c r="F73" s="7"/>
      <c r="G73" s="18"/>
      <c r="H73" s="7"/>
      <c r="I73" s="7"/>
      <c r="J73" s="7"/>
      <c r="K73" s="7"/>
      <c r="L73" s="29"/>
    </row>
    <row r="74" customFormat="false" ht="18" hidden="false" customHeight="true" outlineLevel="0" collapsed="false">
      <c r="A74" s="49"/>
      <c r="B74" s="49"/>
      <c r="C74" s="49"/>
      <c r="D74" s="49"/>
      <c r="E74" s="49"/>
      <c r="F74" s="49"/>
      <c r="G74" s="44"/>
      <c r="H74" s="49"/>
      <c r="I74" s="49"/>
      <c r="J74" s="49"/>
      <c r="K74" s="49"/>
      <c r="L74" s="50"/>
    </row>
    <row r="75" customFormat="false" ht="18" hidden="false" customHeight="true" outlineLevel="0" collapsed="false">
      <c r="A75" s="7"/>
      <c r="B75" s="7"/>
      <c r="C75" s="7"/>
      <c r="D75" s="7"/>
      <c r="E75" s="7"/>
      <c r="F75" s="7"/>
      <c r="G75" s="18"/>
      <c r="H75" s="7"/>
      <c r="I75" s="7"/>
      <c r="J75" s="7"/>
      <c r="K75" s="7"/>
      <c r="L75" s="29"/>
    </row>
    <row r="76" customFormat="false" ht="18" hidden="false" customHeight="true" outlineLevel="0" collapsed="false">
      <c r="A76" s="49"/>
      <c r="B76" s="49"/>
      <c r="C76" s="49"/>
      <c r="D76" s="49"/>
      <c r="E76" s="49"/>
      <c r="F76" s="49"/>
      <c r="G76" s="44"/>
      <c r="H76" s="49"/>
      <c r="I76" s="49"/>
      <c r="J76" s="49"/>
      <c r="K76" s="49"/>
      <c r="L76" s="50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18"/>
      <c r="H77" s="7"/>
      <c r="I77" s="7"/>
      <c r="J77" s="7"/>
      <c r="K77" s="7"/>
      <c r="L77" s="29"/>
    </row>
    <row r="78" customFormat="false" ht="18" hidden="false" customHeight="true" outlineLevel="0" collapsed="false">
      <c r="A78" s="49"/>
      <c r="B78" s="49"/>
      <c r="C78" s="49"/>
      <c r="D78" s="49"/>
      <c r="E78" s="49"/>
      <c r="F78" s="49"/>
      <c r="G78" s="44"/>
      <c r="H78" s="49"/>
      <c r="I78" s="49"/>
      <c r="J78" s="49"/>
      <c r="K78" s="49"/>
      <c r="L78" s="50"/>
    </row>
    <row r="79" customFormat="false" ht="18" hidden="false" customHeight="true" outlineLevel="0" collapsed="false">
      <c r="A79" s="7"/>
      <c r="B79" s="7"/>
      <c r="C79" s="7"/>
      <c r="D79" s="7"/>
      <c r="E79" s="7"/>
      <c r="F79" s="7"/>
      <c r="G79" s="18"/>
      <c r="H79" s="7"/>
      <c r="I79" s="7"/>
      <c r="J79" s="7"/>
      <c r="K79" s="7"/>
      <c r="L79" s="29"/>
    </row>
    <row r="80" customFormat="false" ht="18" hidden="false" customHeight="true" outlineLevel="0" collapsed="false">
      <c r="A80" s="49"/>
      <c r="B80" s="49"/>
      <c r="C80" s="49"/>
      <c r="D80" s="49"/>
      <c r="E80" s="49"/>
      <c r="F80" s="49"/>
      <c r="G80" s="44"/>
      <c r="H80" s="49"/>
      <c r="I80" s="49"/>
      <c r="J80" s="49"/>
      <c r="K80" s="49"/>
      <c r="L80" s="50"/>
    </row>
    <row r="81" customFormat="false" ht="18" hidden="false" customHeight="true" outlineLevel="0" collapsed="false">
      <c r="A81" s="7"/>
      <c r="B81" s="7"/>
      <c r="C81" s="7"/>
      <c r="D81" s="7"/>
      <c r="E81" s="7"/>
      <c r="F81" s="7"/>
      <c r="G81" s="18"/>
      <c r="H81" s="7"/>
      <c r="I81" s="7"/>
      <c r="J81" s="7"/>
      <c r="K81" s="7"/>
      <c r="L81" s="29"/>
    </row>
    <row r="82" customFormat="false" ht="18" hidden="false" customHeight="true" outlineLevel="0" collapsed="false">
      <c r="A82" s="49"/>
      <c r="B82" s="49"/>
      <c r="C82" s="49"/>
      <c r="D82" s="49"/>
      <c r="E82" s="49"/>
      <c r="F82" s="49"/>
      <c r="G82" s="44"/>
      <c r="H82" s="49"/>
      <c r="I82" s="49"/>
      <c r="J82" s="49"/>
      <c r="K82" s="49"/>
      <c r="L82" s="50"/>
    </row>
    <row r="83" customFormat="false" ht="18" hidden="false" customHeight="true" outlineLevel="0" collapsed="false">
      <c r="A83" s="7"/>
      <c r="B83" s="7"/>
      <c r="C83" s="7"/>
      <c r="D83" s="7"/>
      <c r="E83" s="7"/>
      <c r="F83" s="7"/>
      <c r="G83" s="18"/>
      <c r="H83" s="7"/>
      <c r="I83" s="7"/>
      <c r="J83" s="7"/>
      <c r="K83" s="7"/>
      <c r="L83" s="29"/>
    </row>
    <row r="84" customFormat="false" ht="18" hidden="false" customHeight="true" outlineLevel="0" collapsed="false">
      <c r="A84" s="49"/>
      <c r="B84" s="49"/>
      <c r="C84" s="49"/>
      <c r="D84" s="49"/>
      <c r="E84" s="49"/>
      <c r="F84" s="49"/>
      <c r="G84" s="44"/>
      <c r="H84" s="49"/>
      <c r="I84" s="49"/>
      <c r="J84" s="49"/>
      <c r="K84" s="49"/>
      <c r="L84" s="50"/>
    </row>
    <row r="85" customFormat="false" ht="18" hidden="false" customHeight="true" outlineLevel="0" collapsed="false">
      <c r="A85" s="7"/>
      <c r="B85" s="7"/>
      <c r="C85" s="7"/>
      <c r="D85" s="7"/>
      <c r="E85" s="7"/>
      <c r="F85" s="7"/>
      <c r="G85" s="18"/>
      <c r="H85" s="7"/>
      <c r="I85" s="7"/>
      <c r="J85" s="7"/>
      <c r="K85" s="7"/>
      <c r="L85" s="29"/>
    </row>
    <row r="86" customFormat="false" ht="18" hidden="false" customHeight="true" outlineLevel="0" collapsed="false">
      <c r="A86" s="49"/>
      <c r="B86" s="49"/>
      <c r="C86" s="49"/>
      <c r="D86" s="49"/>
      <c r="E86" s="49"/>
      <c r="F86" s="49"/>
      <c r="G86" s="44"/>
      <c r="H86" s="49"/>
      <c r="I86" s="49"/>
      <c r="J86" s="49"/>
      <c r="K86" s="49"/>
      <c r="L86" s="50"/>
    </row>
    <row r="87" customFormat="false" ht="18" hidden="false" customHeight="true" outlineLevel="0" collapsed="false">
      <c r="A87" s="7"/>
      <c r="B87" s="7"/>
      <c r="C87" s="7"/>
      <c r="D87" s="7"/>
      <c r="E87" s="7"/>
      <c r="F87" s="7"/>
      <c r="G87" s="18"/>
      <c r="H87" s="7"/>
      <c r="I87" s="7"/>
      <c r="J87" s="7"/>
      <c r="K87" s="7"/>
      <c r="L87" s="29"/>
    </row>
    <row r="88" customFormat="false" ht="18" hidden="false" customHeight="true" outlineLevel="0" collapsed="false">
      <c r="A88" s="49"/>
      <c r="B88" s="49"/>
      <c r="C88" s="49"/>
      <c r="D88" s="49"/>
      <c r="E88" s="49"/>
      <c r="F88" s="49"/>
      <c r="G88" s="44"/>
      <c r="H88" s="49"/>
      <c r="I88" s="49"/>
      <c r="J88" s="49"/>
      <c r="K88" s="49"/>
      <c r="L88" s="50"/>
    </row>
    <row r="89" customFormat="false" ht="18" hidden="false" customHeight="true" outlineLevel="0" collapsed="false">
      <c r="A89" s="7"/>
      <c r="B89" s="7"/>
      <c r="C89" s="7"/>
      <c r="D89" s="7"/>
      <c r="E89" s="7"/>
      <c r="F89" s="7"/>
      <c r="G89" s="18"/>
      <c r="H89" s="7"/>
      <c r="I89" s="7"/>
      <c r="J89" s="7"/>
      <c r="K89" s="7"/>
      <c r="L89" s="29"/>
    </row>
    <row r="90" customFormat="false" ht="18" hidden="false" customHeight="true" outlineLevel="0" collapsed="false">
      <c r="A90" s="49"/>
      <c r="B90" s="49"/>
      <c r="C90" s="49"/>
      <c r="D90" s="49"/>
      <c r="E90" s="49"/>
      <c r="F90" s="49"/>
      <c r="G90" s="44"/>
      <c r="H90" s="49"/>
      <c r="I90" s="49"/>
      <c r="J90" s="49"/>
      <c r="K90" s="49"/>
      <c r="L90" s="50"/>
    </row>
    <row r="91" customFormat="false" ht="18" hidden="false" customHeight="true" outlineLevel="0" collapsed="false">
      <c r="A91" s="7"/>
      <c r="B91" s="7"/>
      <c r="C91" s="7"/>
      <c r="D91" s="7"/>
      <c r="E91" s="7"/>
      <c r="F91" s="7"/>
      <c r="G91" s="18"/>
      <c r="H91" s="7"/>
      <c r="I91" s="7"/>
      <c r="J91" s="7"/>
      <c r="K91" s="7"/>
      <c r="L91" s="29"/>
    </row>
    <row r="92" customFormat="false" ht="18" hidden="false" customHeight="true" outlineLevel="0" collapsed="false">
      <c r="A92" s="49"/>
      <c r="B92" s="49"/>
      <c r="C92" s="49"/>
      <c r="D92" s="49"/>
      <c r="E92" s="49"/>
      <c r="F92" s="49"/>
      <c r="G92" s="44"/>
      <c r="H92" s="49"/>
      <c r="I92" s="49"/>
      <c r="J92" s="49"/>
      <c r="K92" s="49"/>
      <c r="L92" s="50"/>
    </row>
    <row r="93" customFormat="false" ht="18" hidden="false" customHeight="true" outlineLevel="0" collapsed="false">
      <c r="A93" s="7"/>
      <c r="B93" s="7"/>
      <c r="C93" s="7"/>
      <c r="D93" s="7"/>
      <c r="E93" s="7"/>
      <c r="F93" s="7"/>
      <c r="G93" s="18"/>
      <c r="H93" s="7"/>
      <c r="I93" s="7"/>
      <c r="J93" s="7"/>
      <c r="K93" s="7"/>
      <c r="L93" s="29"/>
    </row>
    <row r="94" customFormat="false" ht="18" hidden="false" customHeight="true" outlineLevel="0" collapsed="false">
      <c r="A94" s="49"/>
      <c r="B94" s="49"/>
      <c r="C94" s="49"/>
      <c r="D94" s="49"/>
      <c r="E94" s="49"/>
      <c r="F94" s="49"/>
      <c r="G94" s="44"/>
      <c r="H94" s="49"/>
      <c r="I94" s="49"/>
      <c r="J94" s="49"/>
      <c r="K94" s="49"/>
      <c r="L94" s="50"/>
    </row>
    <row r="95" customFormat="false" ht="18" hidden="false" customHeight="true" outlineLevel="0" collapsed="false">
      <c r="A95" s="7"/>
      <c r="B95" s="7"/>
      <c r="C95" s="7"/>
      <c r="D95" s="7"/>
      <c r="E95" s="7"/>
      <c r="F95" s="7"/>
      <c r="G95" s="18"/>
      <c r="H95" s="7"/>
      <c r="I95" s="7"/>
      <c r="J95" s="7"/>
      <c r="K95" s="7"/>
      <c r="L95" s="29"/>
    </row>
    <row r="96" customFormat="false" ht="18" hidden="false" customHeight="true" outlineLevel="0" collapsed="false">
      <c r="A96" s="49"/>
      <c r="B96" s="49"/>
      <c r="C96" s="49"/>
      <c r="D96" s="49"/>
      <c r="E96" s="49"/>
      <c r="F96" s="49"/>
      <c r="G96" s="44"/>
      <c r="H96" s="49"/>
      <c r="I96" s="49"/>
      <c r="J96" s="49"/>
      <c r="K96" s="49"/>
      <c r="L96" s="50"/>
    </row>
    <row r="97" customFormat="false" ht="18" hidden="false" customHeight="true" outlineLevel="0" collapsed="false">
      <c r="A97" s="7"/>
      <c r="B97" s="7"/>
      <c r="C97" s="7"/>
      <c r="D97" s="7"/>
      <c r="E97" s="7"/>
      <c r="F97" s="7"/>
      <c r="G97" s="18"/>
      <c r="H97" s="7"/>
      <c r="I97" s="7"/>
      <c r="J97" s="7"/>
      <c r="K97" s="7"/>
      <c r="L97" s="29"/>
    </row>
    <row r="98" customFormat="false" ht="18" hidden="false" customHeight="true" outlineLevel="0" collapsed="false">
      <c r="A98" s="49"/>
      <c r="B98" s="49"/>
      <c r="C98" s="49"/>
      <c r="D98" s="49"/>
      <c r="E98" s="49"/>
      <c r="F98" s="49"/>
      <c r="G98" s="44"/>
      <c r="H98" s="49"/>
      <c r="I98" s="49"/>
      <c r="J98" s="49"/>
      <c r="K98" s="49"/>
      <c r="L98" s="50"/>
    </row>
    <row r="99" customFormat="false" ht="18" hidden="false" customHeight="true" outlineLevel="0" collapsed="false">
      <c r="A99" s="7"/>
      <c r="B99" s="7"/>
      <c r="C99" s="7"/>
      <c r="D99" s="7"/>
      <c r="E99" s="7"/>
      <c r="F99" s="7"/>
      <c r="G99" s="18"/>
      <c r="H99" s="7"/>
      <c r="I99" s="7"/>
      <c r="J99" s="7"/>
      <c r="K99" s="7"/>
      <c r="L99" s="29"/>
    </row>
    <row r="100" customFormat="false" ht="18" hidden="false" customHeight="true" outlineLevel="0" collapsed="false">
      <c r="A100" s="49"/>
      <c r="B100" s="49"/>
      <c r="C100" s="49"/>
      <c r="D100" s="49"/>
      <c r="E100" s="49"/>
      <c r="F100" s="49"/>
      <c r="G100" s="44"/>
      <c r="H100" s="49"/>
      <c r="I100" s="49"/>
      <c r="J100" s="49"/>
      <c r="K100" s="49"/>
      <c r="L100" s="50"/>
    </row>
    <row r="101" customFormat="false" ht="18" hidden="false" customHeight="true" outlineLevel="0" collapsed="false">
      <c r="A101" s="7"/>
      <c r="B101" s="7"/>
      <c r="C101" s="7"/>
      <c r="D101" s="7"/>
      <c r="E101" s="7"/>
      <c r="F101" s="7"/>
      <c r="G101" s="18"/>
      <c r="H101" s="7"/>
      <c r="I101" s="7"/>
      <c r="J101" s="7"/>
      <c r="K101" s="7"/>
      <c r="L101" s="29"/>
    </row>
    <row r="102" customFormat="false" ht="18" hidden="false" customHeight="true" outlineLevel="0" collapsed="false">
      <c r="A102" s="49"/>
      <c r="B102" s="49"/>
      <c r="C102" s="49"/>
      <c r="D102" s="49"/>
      <c r="E102" s="49"/>
      <c r="F102" s="49"/>
      <c r="G102" s="44"/>
      <c r="H102" s="49"/>
      <c r="I102" s="49"/>
      <c r="J102" s="49"/>
      <c r="K102" s="49"/>
      <c r="L102" s="50"/>
    </row>
    <row r="103" customFormat="false" ht="18" hidden="false" customHeight="true" outlineLevel="0" collapsed="false">
      <c r="A103" s="7"/>
      <c r="B103" s="7"/>
      <c r="C103" s="7"/>
      <c r="D103" s="7"/>
      <c r="E103" s="7"/>
      <c r="F103" s="7"/>
      <c r="G103" s="18"/>
      <c r="H103" s="7"/>
      <c r="I103" s="7"/>
      <c r="J103" s="7"/>
      <c r="K103" s="7"/>
      <c r="L103" s="29"/>
    </row>
    <row r="104" customFormat="false" ht="18" hidden="false" customHeight="true" outlineLevel="0" collapsed="false">
      <c r="A104" s="49"/>
      <c r="B104" s="49"/>
      <c r="C104" s="49"/>
      <c r="D104" s="49"/>
      <c r="E104" s="49"/>
      <c r="F104" s="49"/>
      <c r="G104" s="44"/>
      <c r="H104" s="49"/>
      <c r="I104" s="49"/>
      <c r="J104" s="49"/>
      <c r="K104" s="49"/>
      <c r="L104" s="50"/>
    </row>
    <row r="107" customFormat="false" ht="24" hidden="false" customHeight="true" outlineLevel="0" collapsed="false">
      <c r="A107" s="3" t="s">
        <v>182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30" hidden="false" customHeight="true" outlineLevel="0" collapsed="false">
      <c r="A108" s="4" t="s">
        <v>183</v>
      </c>
      <c r="B108" s="4" t="s">
        <v>4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8" hidden="false" customHeight="true" outlineLevel="0" collapsed="false">
      <c r="A109" s="5" t="s">
        <v>184</v>
      </c>
      <c r="B109" s="51" t="n">
        <f aca="false">COUNTA(D5:D104)</f>
        <v>0</v>
      </c>
    </row>
    <row r="110" customFormat="false" ht="18" hidden="false" customHeight="true" outlineLevel="0" collapsed="false">
      <c r="A110" s="5" t="s">
        <v>185</v>
      </c>
      <c r="B110" s="51" t="n">
        <f aca="false">SUM(G5:G104)</f>
        <v>0</v>
      </c>
    </row>
    <row r="111" customFormat="false" ht="18" hidden="false" customHeight="true" outlineLevel="0" collapsed="false">
      <c r="A111" s="5" t="s">
        <v>186</v>
      </c>
      <c r="B111" s="51" t="n">
        <f aca="false">SUMIF(F5:F104,"New SDA",G5:G104)</f>
        <v>0</v>
      </c>
    </row>
    <row r="112" customFormat="false" ht="18" hidden="false" customHeight="true" outlineLevel="0" collapsed="false">
      <c r="A112" s="5" t="s">
        <v>187</v>
      </c>
      <c r="B112" s="51" t="n">
        <f aca="false">SUMIF(F5:F104,"Buy-Back",G5:G104)</f>
        <v>0</v>
      </c>
    </row>
    <row r="113" customFormat="false" ht="18" hidden="false" customHeight="true" outlineLevel="0" collapsed="false">
      <c r="A113" s="5" t="s">
        <v>188</v>
      </c>
      <c r="B113" s="51" t="n">
        <f aca="false">SUMIF(J5:J104,"Yes",G5:G104)</f>
        <v>0</v>
      </c>
    </row>
    <row r="114" customFormat="false" ht="18" hidden="false" customHeight="true" outlineLevel="0" collapsed="false">
      <c r="A114" s="5" t="s">
        <v>189</v>
      </c>
      <c r="B114" s="51" t="n">
        <f aca="false">SUMIF(J5:J104,"No",G5:G104)</f>
        <v>0</v>
      </c>
    </row>
    <row r="115" customFormat="false" ht="18" hidden="false" customHeight="true" outlineLevel="0" collapsed="false">
      <c r="A115" s="5" t="s">
        <v>190</v>
      </c>
      <c r="B115" s="52" t="n">
        <f aca="false">IF(B110&gt;0,B113/B110,0)</f>
        <v>0</v>
      </c>
    </row>
    <row r="116" customFormat="false" ht="18" hidden="false" customHeight="true" outlineLevel="0" collapsed="false">
      <c r="A116" s="5" t="s">
        <v>191</v>
      </c>
      <c r="B116" s="52" t="n">
        <f aca="false">IF(B110&gt;0,B112/B110,0)</f>
        <v>0</v>
      </c>
    </row>
  </sheetData>
  <mergeCells count="2">
    <mergeCell ref="A1:L1"/>
    <mergeCell ref="A107:L107"/>
  </mergeCells>
  <dataValidations count="7">
    <dataValidation allowBlank="true" error="Select New SDA or Buy-Back" errorStyle="stop" operator="between" prompt="Choose provision type" showDropDown="false" showErrorMessage="false" showInputMessage="false" sqref="F5:F104" type="list">
      <formula1>"New SDA,Buy-Back"</formula1>
      <formula2>0</formula2>
    </dataValidation>
    <dataValidation allowBlank="true" errorStyle="stop" operator="between" showDropDown="false" showErrorMessage="false" showInputMessage="false" sqref="E5:E104" type="list">
      <formula1>"GP,ACP,ANP,Paramedic,Clinical Pharmacist,Physician Associate,First Contact Physio,MH Practitioner"</formula1>
      <formula2>0</formula2>
    </dataValidation>
    <dataValidation allowBlank="true" errorStyle="stop" operator="between" showDropDown="false" showErrorMessage="false" showInputMessage="false" sqref="H5:H104" type="list">
      <formula1>"F2F - Hub,F2F - Spoke,Remote - Telephone,Remote - Video"</formula1>
      <formula2>0</formula2>
    </dataValidation>
    <dataValidation allowBlank="true" errorStyle="stop" operator="between" showDropDown="false" showErrorMessage="false" showInputMessage="false" sqref="A5:A104" type="list">
      <formula1>"Monday,Tuesday,Wednesday,Thursday,Friday,Saturday"</formula1>
      <formula2>0</formula2>
    </dataValidation>
    <dataValidation allowBlank="true" errorStyle="stop" operator="between" showDropDown="false" showErrorMessage="false" showInputMessage="false" sqref="B5:B104" type="list">
      <formula1>"AM,PM,Evening"</formula1>
      <formula2>0</formula2>
    </dataValidation>
    <dataValidation allowBlank="true" errorStyle="stop" operator="between" showDropDown="false" showErrorMessage="false" showInputMessage="false" sqref="C5:C104" type="list">
      <formula1>"The Parks MC,Brackley MC,Springfield Surgery,Towcester MC,Bugbrooke Surgery,Brook Health Centre,Denton Village Surgery"</formula1>
      <formula2>0</formula2>
    </dataValidation>
    <dataValidation allowBlank="true" errorStyle="stop" operator="between" showDropDown="false" showErrorMessage="false" showInputMessage="false" sqref="J5:J1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C6" activeCellId="0" sqref="C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15" min="4" style="0" width="18"/>
    <col collapsed="false" customWidth="true" hidden="false" outlineLevel="0" max="16" min="16" style="0" width="40"/>
  </cols>
  <sheetData>
    <row r="1" customFormat="false" ht="27.75" hidden="false" customHeight="true" outlineLevel="0" collapsed="false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53" t="s">
        <v>193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4" customFormat="false" ht="24" hidden="false" customHeight="true" outlineLevel="0" collapsed="false">
      <c r="A4" s="3" t="s">
        <v>194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30" hidden="false" customHeight="true" outlineLevel="0" collapsed="false">
      <c r="A5" s="4" t="s">
        <v>195</v>
      </c>
      <c r="B5" s="4" t="s">
        <v>54</v>
      </c>
      <c r="C5" s="4" t="s">
        <v>174</v>
      </c>
      <c r="D5" s="4" t="s">
        <v>196</v>
      </c>
      <c r="E5" s="4" t="s">
        <v>197</v>
      </c>
      <c r="F5" s="4" t="s">
        <v>198</v>
      </c>
      <c r="G5" s="4" t="s">
        <v>199</v>
      </c>
      <c r="H5" s="4" t="s">
        <v>200</v>
      </c>
      <c r="I5" s="4" t="s">
        <v>201</v>
      </c>
      <c r="J5" s="4" t="s">
        <v>202</v>
      </c>
      <c r="K5" s="4" t="s">
        <v>203</v>
      </c>
      <c r="L5" s="4" t="s">
        <v>204</v>
      </c>
      <c r="M5" s="4" t="s">
        <v>205</v>
      </c>
      <c r="N5" s="4" t="s">
        <v>206</v>
      </c>
      <c r="O5" s="4" t="s">
        <v>207</v>
      </c>
      <c r="P5" s="4" t="s">
        <v>208</v>
      </c>
    </row>
    <row r="6" customFormat="false" ht="18" hidden="false" customHeight="true" outlineLevel="0" collapsed="false">
      <c r="A6" s="7" t="s">
        <v>209</v>
      </c>
      <c r="B6" s="7" t="s">
        <v>69</v>
      </c>
      <c r="C6" s="7" t="s">
        <v>210</v>
      </c>
      <c r="D6" s="7" t="s">
        <v>49</v>
      </c>
      <c r="E6" s="9" t="n">
        <v>8</v>
      </c>
      <c r="F6" s="17" t="n">
        <v>11000</v>
      </c>
      <c r="G6" s="29" t="n">
        <f aca="false">IF(E6="","",E6*F6)</f>
        <v>88000</v>
      </c>
      <c r="H6" s="19" t="n">
        <f aca="false">IF(E6="","",Assumptions!B17)</f>
        <v>0.2938</v>
      </c>
      <c r="I6" s="29" t="n">
        <f aca="false">IF(G6="","",G6*(1+H6))</f>
        <v>113854.4</v>
      </c>
      <c r="J6" s="14" t="n">
        <v>1</v>
      </c>
      <c r="K6" s="26" t="n">
        <f aca="false">IF(I6="","",I6*J6)</f>
        <v>113854.4</v>
      </c>
      <c r="L6" s="9" t="n">
        <v>96</v>
      </c>
      <c r="M6" s="54" t="s">
        <v>211</v>
      </c>
      <c r="N6" s="7"/>
      <c r="O6" s="7"/>
      <c r="P6" s="7" t="s">
        <v>212</v>
      </c>
    </row>
    <row r="7" customFormat="false" ht="18" hidden="false" customHeight="true" outlineLevel="0" collapsed="false">
      <c r="A7" s="49" t="s">
        <v>213</v>
      </c>
      <c r="B7" s="49" t="s">
        <v>66</v>
      </c>
      <c r="C7" s="47" t="s">
        <v>214</v>
      </c>
      <c r="D7" s="49" t="s">
        <v>215</v>
      </c>
      <c r="E7" s="55"/>
      <c r="F7" s="56"/>
      <c r="G7" s="29" t="str">
        <f aca="false">IF(E7="","",E7*F7)</f>
        <v/>
      </c>
      <c r="H7" s="19" t="str">
        <f aca="false">IF(E7="","",Assumptions!B17)</f>
        <v/>
      </c>
      <c r="I7" s="29" t="str">
        <f aca="false">IF(G7="","",G7*(1+H7))</f>
        <v/>
      </c>
      <c r="J7" s="57"/>
      <c r="K7" s="26" t="str">
        <f aca="false">IF(I7="","",I7*J7)</f>
        <v/>
      </c>
      <c r="L7" s="55"/>
      <c r="M7" s="58" t="s">
        <v>216</v>
      </c>
      <c r="N7" s="49"/>
      <c r="O7" s="49"/>
      <c r="P7" s="47" t="s">
        <v>217</v>
      </c>
    </row>
    <row r="8" customFormat="false" ht="18" hidden="false" customHeight="true" outlineLevel="0" collapsed="false">
      <c r="A8" s="7" t="s">
        <v>218</v>
      </c>
      <c r="B8" s="7"/>
      <c r="C8" s="7"/>
      <c r="D8" s="7"/>
      <c r="E8" s="55"/>
      <c r="F8" s="56"/>
      <c r="G8" s="29" t="str">
        <f aca="false">IF(E8="","",E8*F8)</f>
        <v/>
      </c>
      <c r="H8" s="19" t="str">
        <f aca="false">IF(E8="","",Assumptions!B17)</f>
        <v/>
      </c>
      <c r="I8" s="29" t="str">
        <f aca="false">IF(G8="","",G8*(1+H8))</f>
        <v/>
      </c>
      <c r="J8" s="57"/>
      <c r="K8" s="26" t="str">
        <f aca="false">IF(I8="","",I8*J8)</f>
        <v/>
      </c>
      <c r="L8" s="55"/>
      <c r="M8" s="7"/>
      <c r="N8" s="7"/>
      <c r="O8" s="7"/>
      <c r="P8" s="7"/>
    </row>
    <row r="9" customFormat="false" ht="18" hidden="false" customHeight="true" outlineLevel="0" collapsed="false">
      <c r="A9" s="49" t="s">
        <v>219</v>
      </c>
      <c r="B9" s="49"/>
      <c r="C9" s="49"/>
      <c r="D9" s="49"/>
      <c r="E9" s="55"/>
      <c r="F9" s="56"/>
      <c r="G9" s="29" t="str">
        <f aca="false">IF(E9="","",E9*F9)</f>
        <v/>
      </c>
      <c r="H9" s="19" t="str">
        <f aca="false">IF(E9="","",Assumptions!B17)</f>
        <v/>
      </c>
      <c r="I9" s="29" t="str">
        <f aca="false">IF(G9="","",G9*(1+H9))</f>
        <v/>
      </c>
      <c r="J9" s="57"/>
      <c r="K9" s="26" t="str">
        <f aca="false">IF(I9="","",I9*J9)</f>
        <v/>
      </c>
      <c r="L9" s="55"/>
      <c r="M9" s="49"/>
      <c r="N9" s="49"/>
      <c r="O9" s="49"/>
      <c r="P9" s="49"/>
    </row>
    <row r="10" customFormat="false" ht="18" hidden="false" customHeight="true" outlineLevel="0" collapsed="false">
      <c r="A10" s="7" t="s">
        <v>220</v>
      </c>
      <c r="B10" s="7"/>
      <c r="C10" s="7"/>
      <c r="D10" s="7"/>
      <c r="E10" s="55"/>
      <c r="F10" s="56"/>
      <c r="G10" s="29" t="str">
        <f aca="false">IF(E10="","",E10*F10)</f>
        <v/>
      </c>
      <c r="H10" s="19" t="str">
        <f aca="false">IF(E10="","",Assumptions!B17)</f>
        <v/>
      </c>
      <c r="I10" s="29" t="str">
        <f aca="false">IF(G10="","",G10*(1+H10))</f>
        <v/>
      </c>
      <c r="J10" s="57"/>
      <c r="K10" s="26" t="str">
        <f aca="false">IF(I10="","",I10*J10)</f>
        <v/>
      </c>
      <c r="L10" s="55"/>
      <c r="M10" s="7"/>
      <c r="N10" s="7"/>
      <c r="O10" s="7"/>
      <c r="P10" s="7"/>
    </row>
    <row r="11" customFormat="false" ht="18" hidden="false" customHeight="true" outlineLevel="0" collapsed="false">
      <c r="A11" s="49" t="s">
        <v>221</v>
      </c>
      <c r="B11" s="49"/>
      <c r="C11" s="49"/>
      <c r="D11" s="49"/>
      <c r="E11" s="55"/>
      <c r="F11" s="56"/>
      <c r="G11" s="29" t="str">
        <f aca="false">IF(E11="","",E11*F11)</f>
        <v/>
      </c>
      <c r="H11" s="19" t="str">
        <f aca="false">IF(E11="","",Assumptions!B17)</f>
        <v/>
      </c>
      <c r="I11" s="29" t="str">
        <f aca="false">IF(G11="","",G11*(1+H11))</f>
        <v/>
      </c>
      <c r="J11" s="57"/>
      <c r="K11" s="26" t="str">
        <f aca="false">IF(I11="","",I11*J11)</f>
        <v/>
      </c>
      <c r="L11" s="55"/>
      <c r="M11" s="49"/>
      <c r="N11" s="49"/>
      <c r="O11" s="49"/>
      <c r="P11" s="49"/>
    </row>
    <row r="12" customFormat="false" ht="18" hidden="false" customHeight="true" outlineLevel="0" collapsed="false">
      <c r="A12" s="7" t="s">
        <v>222</v>
      </c>
      <c r="B12" s="7"/>
      <c r="C12" s="7"/>
      <c r="D12" s="7"/>
      <c r="E12" s="55"/>
      <c r="F12" s="56"/>
      <c r="G12" s="29" t="str">
        <f aca="false">IF(E12="","",E12*F12)</f>
        <v/>
      </c>
      <c r="H12" s="19" t="str">
        <f aca="false">IF(E12="","",Assumptions!B17)</f>
        <v/>
      </c>
      <c r="I12" s="29" t="str">
        <f aca="false">IF(G12="","",G12*(1+H12))</f>
        <v/>
      </c>
      <c r="J12" s="57"/>
      <c r="K12" s="26" t="str">
        <f aca="false">IF(I12="","",I12*J12)</f>
        <v/>
      </c>
      <c r="L12" s="55"/>
      <c r="M12" s="7"/>
      <c r="N12" s="7"/>
      <c r="O12" s="7"/>
      <c r="P12" s="7"/>
    </row>
    <row r="13" customFormat="false" ht="18" hidden="false" customHeight="true" outlineLevel="0" collapsed="false">
      <c r="A13" s="49" t="s">
        <v>223</v>
      </c>
      <c r="B13" s="49"/>
      <c r="C13" s="49"/>
      <c r="D13" s="49"/>
      <c r="E13" s="55"/>
      <c r="F13" s="56"/>
      <c r="G13" s="29" t="str">
        <f aca="false">IF(E13="","",E13*F13)</f>
        <v/>
      </c>
      <c r="H13" s="19" t="str">
        <f aca="false">IF(E13="","",Assumptions!B17)</f>
        <v/>
      </c>
      <c r="I13" s="29" t="str">
        <f aca="false">IF(G13="","",G13*(1+H13))</f>
        <v/>
      </c>
      <c r="J13" s="57"/>
      <c r="K13" s="26" t="str">
        <f aca="false">IF(I13="","",I13*J13)</f>
        <v/>
      </c>
      <c r="L13" s="55"/>
      <c r="M13" s="49"/>
      <c r="N13" s="49"/>
      <c r="O13" s="49"/>
      <c r="P13" s="49"/>
    </row>
    <row r="14" customFormat="false" ht="18" hidden="false" customHeight="true" outlineLevel="0" collapsed="false">
      <c r="A14" s="7" t="s">
        <v>224</v>
      </c>
      <c r="B14" s="7"/>
      <c r="C14" s="7"/>
      <c r="D14" s="7"/>
      <c r="E14" s="55"/>
      <c r="F14" s="56"/>
      <c r="G14" s="29" t="str">
        <f aca="false">IF(E14="","",E14*F14)</f>
        <v/>
      </c>
      <c r="H14" s="19" t="str">
        <f aca="false">IF(E14="","",Assumptions!B17)</f>
        <v/>
      </c>
      <c r="I14" s="29" t="str">
        <f aca="false">IF(G14="","",G14*(1+H14))</f>
        <v/>
      </c>
      <c r="J14" s="57"/>
      <c r="K14" s="26" t="str">
        <f aca="false">IF(I14="","",I14*J14)</f>
        <v/>
      </c>
      <c r="L14" s="55"/>
      <c r="M14" s="7"/>
      <c r="N14" s="7"/>
      <c r="O14" s="7"/>
      <c r="P14" s="7"/>
    </row>
    <row r="15" customFormat="false" ht="18" hidden="false" customHeight="true" outlineLevel="0" collapsed="false">
      <c r="A15" s="49" t="s">
        <v>225</v>
      </c>
      <c r="B15" s="49"/>
      <c r="C15" s="49"/>
      <c r="D15" s="49"/>
      <c r="E15" s="55"/>
      <c r="F15" s="56"/>
      <c r="G15" s="29" t="str">
        <f aca="false">IF(E15="","",E15*F15)</f>
        <v/>
      </c>
      <c r="H15" s="19" t="str">
        <f aca="false">IF(E15="","",Assumptions!B17)</f>
        <v/>
      </c>
      <c r="I15" s="29" t="str">
        <f aca="false">IF(G15="","",G15*(1+H15))</f>
        <v/>
      </c>
      <c r="J15" s="57"/>
      <c r="K15" s="26" t="str">
        <f aca="false">IF(I15="","",I15*J15)</f>
        <v/>
      </c>
      <c r="L15" s="55"/>
      <c r="M15" s="49"/>
      <c r="N15" s="49"/>
      <c r="O15" s="49"/>
      <c r="P15" s="49"/>
    </row>
    <row r="16" customFormat="false" ht="18" hidden="false" customHeight="true" outlineLevel="0" collapsed="false">
      <c r="A16" s="7" t="s">
        <v>226</v>
      </c>
      <c r="B16" s="7"/>
      <c r="C16" s="7"/>
      <c r="D16" s="7"/>
      <c r="E16" s="55"/>
      <c r="F16" s="56"/>
      <c r="G16" s="29" t="str">
        <f aca="false">IF(E16="","",E16*F16)</f>
        <v/>
      </c>
      <c r="H16" s="19" t="str">
        <f aca="false">IF(E16="","",Assumptions!B17)</f>
        <v/>
      </c>
      <c r="I16" s="29" t="str">
        <f aca="false">IF(G16="","",G16*(1+H16))</f>
        <v/>
      </c>
      <c r="J16" s="57"/>
      <c r="K16" s="26" t="str">
        <f aca="false">IF(I16="","",I16*J16)</f>
        <v/>
      </c>
      <c r="L16" s="55"/>
      <c r="M16" s="7"/>
      <c r="N16" s="7"/>
      <c r="O16" s="7"/>
      <c r="P16" s="7"/>
    </row>
    <row r="17" customFormat="false" ht="18" hidden="false" customHeight="true" outlineLevel="0" collapsed="false">
      <c r="A17" s="49" t="s">
        <v>227</v>
      </c>
      <c r="B17" s="49"/>
      <c r="C17" s="49"/>
      <c r="D17" s="49"/>
      <c r="E17" s="55"/>
      <c r="F17" s="56"/>
      <c r="G17" s="29" t="str">
        <f aca="false">IF(E17="","",E17*F17)</f>
        <v/>
      </c>
      <c r="H17" s="19" t="str">
        <f aca="false">IF(E17="","",Assumptions!B17)</f>
        <v/>
      </c>
      <c r="I17" s="29" t="str">
        <f aca="false">IF(G17="","",G17*(1+H17))</f>
        <v/>
      </c>
      <c r="J17" s="57"/>
      <c r="K17" s="26" t="str">
        <f aca="false">IF(I17="","",I17*J17)</f>
        <v/>
      </c>
      <c r="L17" s="55"/>
      <c r="M17" s="49"/>
      <c r="N17" s="49"/>
      <c r="O17" s="49"/>
      <c r="P17" s="49"/>
    </row>
    <row r="18" customFormat="false" ht="18" hidden="false" customHeight="true" outlineLevel="0" collapsed="false">
      <c r="A18" s="7" t="s">
        <v>228</v>
      </c>
      <c r="B18" s="7"/>
      <c r="C18" s="7"/>
      <c r="D18" s="7"/>
      <c r="E18" s="55"/>
      <c r="F18" s="56"/>
      <c r="G18" s="29" t="str">
        <f aca="false">IF(E18="","",E18*F18)</f>
        <v/>
      </c>
      <c r="H18" s="19" t="str">
        <f aca="false">IF(E18="","",Assumptions!B17)</f>
        <v/>
      </c>
      <c r="I18" s="29" t="str">
        <f aca="false">IF(G18="","",G18*(1+H18))</f>
        <v/>
      </c>
      <c r="J18" s="57"/>
      <c r="K18" s="26" t="str">
        <f aca="false">IF(I18="","",I18*J18)</f>
        <v/>
      </c>
      <c r="L18" s="55"/>
      <c r="M18" s="7"/>
      <c r="N18" s="7"/>
      <c r="O18" s="7"/>
      <c r="P18" s="7"/>
    </row>
    <row r="19" customFormat="false" ht="18" hidden="false" customHeight="true" outlineLevel="0" collapsed="false">
      <c r="A19" s="49" t="s">
        <v>229</v>
      </c>
      <c r="B19" s="49"/>
      <c r="C19" s="49"/>
      <c r="D19" s="49"/>
      <c r="E19" s="55"/>
      <c r="F19" s="56"/>
      <c r="G19" s="29" t="str">
        <f aca="false">IF(E19="","",E19*F19)</f>
        <v/>
      </c>
      <c r="H19" s="19" t="str">
        <f aca="false">IF(E19="","",Assumptions!B17)</f>
        <v/>
      </c>
      <c r="I19" s="29" t="str">
        <f aca="false">IF(G19="","",G19*(1+H19))</f>
        <v/>
      </c>
      <c r="J19" s="57"/>
      <c r="K19" s="26" t="str">
        <f aca="false">IF(I19="","",I19*J19)</f>
        <v/>
      </c>
      <c r="L19" s="55"/>
      <c r="M19" s="49"/>
      <c r="N19" s="49"/>
      <c r="O19" s="49"/>
      <c r="P19" s="49"/>
    </row>
    <row r="20" customFormat="false" ht="18" hidden="false" customHeight="true" outlineLevel="0" collapsed="false">
      <c r="A20" s="7" t="s">
        <v>230</v>
      </c>
      <c r="B20" s="7"/>
      <c r="C20" s="7"/>
      <c r="D20" s="7"/>
      <c r="E20" s="55"/>
      <c r="F20" s="56"/>
      <c r="G20" s="29" t="str">
        <f aca="false">IF(E20="","",E20*F20)</f>
        <v/>
      </c>
      <c r="H20" s="19" t="str">
        <f aca="false">IF(E20="","",Assumptions!B17)</f>
        <v/>
      </c>
      <c r="I20" s="29" t="str">
        <f aca="false">IF(G20="","",G20*(1+H20))</f>
        <v/>
      </c>
      <c r="J20" s="57"/>
      <c r="K20" s="26" t="str">
        <f aca="false">IF(I20="","",I20*J20)</f>
        <v/>
      </c>
      <c r="L20" s="55"/>
      <c r="M20" s="7"/>
      <c r="N20" s="7"/>
      <c r="O20" s="7"/>
      <c r="P20" s="7"/>
    </row>
    <row r="21" customFormat="false" ht="18" hidden="false" customHeight="true" outlineLevel="0" collapsed="false">
      <c r="A21" s="49" t="s">
        <v>231</v>
      </c>
      <c r="B21" s="49"/>
      <c r="C21" s="49"/>
      <c r="D21" s="49"/>
      <c r="E21" s="55"/>
      <c r="F21" s="56"/>
      <c r="G21" s="29" t="str">
        <f aca="false">IF(E21="","",E21*F21)</f>
        <v/>
      </c>
      <c r="H21" s="19" t="str">
        <f aca="false">IF(E21="","",Assumptions!B17)</f>
        <v/>
      </c>
      <c r="I21" s="29" t="str">
        <f aca="false">IF(G21="","",G21*(1+H21))</f>
        <v/>
      </c>
      <c r="J21" s="57"/>
      <c r="K21" s="26" t="str">
        <f aca="false">IF(I21="","",I21*J21)</f>
        <v/>
      </c>
      <c r="L21" s="55"/>
      <c r="M21" s="49"/>
      <c r="N21" s="49"/>
      <c r="O21" s="49"/>
      <c r="P21" s="49"/>
    </row>
    <row r="22" customFormat="false" ht="18" hidden="false" customHeight="true" outlineLevel="0" collapsed="false">
      <c r="A22" s="7" t="s">
        <v>232</v>
      </c>
      <c r="B22" s="7"/>
      <c r="C22" s="7"/>
      <c r="D22" s="7"/>
      <c r="E22" s="55"/>
      <c r="F22" s="56"/>
      <c r="G22" s="29" t="str">
        <f aca="false">IF(E22="","",E22*F22)</f>
        <v/>
      </c>
      <c r="H22" s="19" t="str">
        <f aca="false">IF(E22="","",Assumptions!B17)</f>
        <v/>
      </c>
      <c r="I22" s="29" t="str">
        <f aca="false">IF(G22="","",G22*(1+H22))</f>
        <v/>
      </c>
      <c r="J22" s="57"/>
      <c r="K22" s="26" t="str">
        <f aca="false">IF(I22="","",I22*J22)</f>
        <v/>
      </c>
      <c r="L22" s="55"/>
      <c r="M22" s="7"/>
      <c r="N22" s="7"/>
      <c r="O22" s="7"/>
      <c r="P22" s="7"/>
    </row>
    <row r="23" customFormat="false" ht="18" hidden="false" customHeight="true" outlineLevel="0" collapsed="false">
      <c r="A23" s="49" t="s">
        <v>233</v>
      </c>
      <c r="B23" s="49"/>
      <c r="C23" s="49"/>
      <c r="D23" s="49"/>
      <c r="E23" s="55"/>
      <c r="F23" s="56"/>
      <c r="G23" s="29" t="str">
        <f aca="false">IF(E23="","",E23*F23)</f>
        <v/>
      </c>
      <c r="H23" s="19" t="str">
        <f aca="false">IF(E23="","",Assumptions!B17)</f>
        <v/>
      </c>
      <c r="I23" s="29" t="str">
        <f aca="false">IF(G23="","",G23*(1+H23))</f>
        <v/>
      </c>
      <c r="J23" s="57"/>
      <c r="K23" s="26" t="str">
        <f aca="false">IF(I23="","",I23*J23)</f>
        <v/>
      </c>
      <c r="L23" s="55"/>
      <c r="M23" s="49"/>
      <c r="N23" s="49"/>
      <c r="O23" s="49"/>
      <c r="P23" s="49"/>
    </row>
    <row r="24" customFormat="false" ht="18" hidden="false" customHeight="true" outlineLevel="0" collapsed="false">
      <c r="A24" s="7" t="s">
        <v>234</v>
      </c>
      <c r="B24" s="7"/>
      <c r="C24" s="7"/>
      <c r="D24" s="7"/>
      <c r="E24" s="55"/>
      <c r="F24" s="56"/>
      <c r="G24" s="29" t="str">
        <f aca="false">IF(E24="","",E24*F24)</f>
        <v/>
      </c>
      <c r="H24" s="19" t="str">
        <f aca="false">IF(E24="","",Assumptions!B17)</f>
        <v/>
      </c>
      <c r="I24" s="29" t="str">
        <f aca="false">IF(G24="","",G24*(1+H24))</f>
        <v/>
      </c>
      <c r="J24" s="57"/>
      <c r="K24" s="26" t="str">
        <f aca="false">IF(I24="","",I24*J24)</f>
        <v/>
      </c>
      <c r="L24" s="55"/>
      <c r="M24" s="7"/>
      <c r="N24" s="7"/>
      <c r="O24" s="7"/>
      <c r="P24" s="7"/>
    </row>
    <row r="25" customFormat="false" ht="18" hidden="false" customHeight="true" outlineLevel="0" collapsed="false">
      <c r="A25" s="49" t="s">
        <v>235</v>
      </c>
      <c r="B25" s="49"/>
      <c r="C25" s="49"/>
      <c r="D25" s="49"/>
      <c r="E25" s="55"/>
      <c r="F25" s="56"/>
      <c r="G25" s="29" t="str">
        <f aca="false">IF(E25="","",E25*F25)</f>
        <v/>
      </c>
      <c r="H25" s="19" t="str">
        <f aca="false">IF(E25="","",Assumptions!B17)</f>
        <v/>
      </c>
      <c r="I25" s="29" t="str">
        <f aca="false">IF(G25="","",G25*(1+H25))</f>
        <v/>
      </c>
      <c r="J25" s="57"/>
      <c r="K25" s="26" t="str">
        <f aca="false">IF(I25="","",I25*J25)</f>
        <v/>
      </c>
      <c r="L25" s="55"/>
      <c r="M25" s="49"/>
      <c r="N25" s="49"/>
      <c r="O25" s="49"/>
      <c r="P25" s="49"/>
    </row>
    <row r="28" customFormat="false" ht="24" hidden="false" customHeight="true" outlineLevel="0" collapsed="false">
      <c r="A28" s="3" t="s">
        <v>236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30" hidden="false" customHeight="true" outlineLevel="0" collapsed="false">
      <c r="A29" s="4" t="s">
        <v>54</v>
      </c>
      <c r="B29" s="4" t="s">
        <v>237</v>
      </c>
      <c r="C29" s="4" t="s">
        <v>238</v>
      </c>
      <c r="D29" s="4" t="s">
        <v>239</v>
      </c>
      <c r="E29" s="4" t="s">
        <v>240</v>
      </c>
      <c r="F29" s="4" t="s">
        <v>241</v>
      </c>
      <c r="G29" s="4"/>
      <c r="H29" s="4"/>
      <c r="I29" s="4"/>
      <c r="J29" s="4"/>
      <c r="K29" s="4"/>
      <c r="L29" s="4"/>
      <c r="M29" s="4"/>
      <c r="N29" s="4"/>
      <c r="O29" s="4"/>
      <c r="P29" s="4"/>
    </row>
    <row r="30" customFormat="false" ht="18" hidden="false" customHeight="true" outlineLevel="0" collapsed="false">
      <c r="A30" s="5" t="s">
        <v>59</v>
      </c>
      <c r="B30" s="18" t="n">
        <f aca="false">COUNTIF(B6:B25,A30)</f>
        <v>0</v>
      </c>
      <c r="C30" s="29" t="n">
        <f aca="false">SUMIFS(K6:K25,B6:B25,A30,M6:M25,"Approved")</f>
        <v>0</v>
      </c>
      <c r="D30" s="29" t="n">
        <f aca="false">SUMIFS(K6:K25,B6:B25,A30,M6:M25,"Submitted")+SUMIFS(K6:K25,B6:B25,A30,M6:M25,"Under Review")+SUMIFS(K6:K25,B6:B25,A30,M6:M25,"Draft")</f>
        <v>0</v>
      </c>
      <c r="E30" s="26" t="n">
        <f aca="false">C30+D30</f>
        <v>0</v>
      </c>
      <c r="F30" s="18" t="n">
        <f aca="false">SUMIFS(L6:L25,B6:B25,A30,M6:M25,"Approved")</f>
        <v>0</v>
      </c>
    </row>
    <row r="31" customFormat="false" ht="18" hidden="false" customHeight="true" outlineLevel="0" collapsed="false">
      <c r="A31" s="5" t="s">
        <v>62</v>
      </c>
      <c r="B31" s="18" t="n">
        <f aca="false">COUNTIF(B6:B25,A31)</f>
        <v>0</v>
      </c>
      <c r="C31" s="29" t="n">
        <f aca="false">SUMIFS(K6:K25,B6:B25,A31,M6:M25,"Approved")</f>
        <v>0</v>
      </c>
      <c r="D31" s="29" t="n">
        <f aca="false">SUMIFS(K6:K25,B6:B25,A31,M6:M25,"Submitted")+SUMIFS(K6:K25,B6:B25,A31,M6:M25,"Under Review")+SUMIFS(K6:K25,B6:B25,A31,M6:M25,"Draft")</f>
        <v>0</v>
      </c>
      <c r="E31" s="26" t="n">
        <f aca="false">C31+D31</f>
        <v>0</v>
      </c>
      <c r="F31" s="18" t="n">
        <f aca="false">SUMIFS(L6:L25,B6:B25,A31,M6:M25,"Approved")</f>
        <v>0</v>
      </c>
    </row>
    <row r="32" customFormat="false" ht="18" hidden="false" customHeight="true" outlineLevel="0" collapsed="false">
      <c r="A32" s="5" t="s">
        <v>63</v>
      </c>
      <c r="B32" s="18" t="n">
        <f aca="false">COUNTIF(B6:B25,A32)</f>
        <v>0</v>
      </c>
      <c r="C32" s="29" t="n">
        <f aca="false">SUMIFS(K6:K25,B6:B25,A32,M6:M25,"Approved")</f>
        <v>0</v>
      </c>
      <c r="D32" s="29" t="n">
        <f aca="false">SUMIFS(K6:K25,B6:B25,A32,M6:M25,"Submitted")+SUMIFS(K6:K25,B6:B25,A32,M6:M25,"Under Review")+SUMIFS(K6:K25,B6:B25,A32,M6:M25,"Draft")</f>
        <v>0</v>
      </c>
      <c r="E32" s="26" t="n">
        <f aca="false">C32+D32</f>
        <v>0</v>
      </c>
      <c r="F32" s="18" t="n">
        <f aca="false">SUMIFS(L6:L25,B6:B25,A32,M6:M25,"Approved")</f>
        <v>0</v>
      </c>
    </row>
    <row r="33" customFormat="false" ht="18" hidden="false" customHeight="true" outlineLevel="0" collapsed="false">
      <c r="A33" s="5" t="s">
        <v>66</v>
      </c>
      <c r="B33" s="18" t="n">
        <f aca="false">COUNTIF(B6:B25,A33)</f>
        <v>1</v>
      </c>
      <c r="C33" s="29" t="n">
        <f aca="false">SUMIFS(K6:K25,B6:B25,A33,M6:M25,"Approved")</f>
        <v>0</v>
      </c>
      <c r="D33" s="29" t="n">
        <f aca="false">SUMIFS(K6:K25,B6:B25,A33,M6:M25,"Submitted")+SUMIFS(K6:K25,B6:B25,A33,M6:M25,"Under Review")+SUMIFS(K6:K25,B6:B25,A33,M6:M25,"Draft")</f>
        <v>0</v>
      </c>
      <c r="E33" s="26" t="n">
        <f aca="false">C33+D33</f>
        <v>0</v>
      </c>
      <c r="F33" s="18" t="n">
        <f aca="false">SUMIFS(L6:L25,B6:B25,A33,M6:M25,"Approved")</f>
        <v>0</v>
      </c>
    </row>
    <row r="34" customFormat="false" ht="18" hidden="false" customHeight="true" outlineLevel="0" collapsed="false">
      <c r="A34" s="5" t="s">
        <v>67</v>
      </c>
      <c r="B34" s="18" t="n">
        <f aca="false">COUNTIF(B6:B25,A34)</f>
        <v>0</v>
      </c>
      <c r="C34" s="29" t="n">
        <f aca="false">SUMIFS(K6:K25,B6:B25,A34,M6:M25,"Approved")</f>
        <v>0</v>
      </c>
      <c r="D34" s="29" t="n">
        <f aca="false">SUMIFS(K6:K25,B6:B25,A34,M6:M25,"Submitted")+SUMIFS(K6:K25,B6:B25,A34,M6:M25,"Under Review")+SUMIFS(K6:K25,B6:B25,A34,M6:M25,"Draft")</f>
        <v>0</v>
      </c>
      <c r="E34" s="26" t="n">
        <f aca="false">C34+D34</f>
        <v>0</v>
      </c>
      <c r="F34" s="18" t="n">
        <f aca="false">SUMIFS(L6:L25,B6:B25,A34,M6:M25,"Approved")</f>
        <v>0</v>
      </c>
    </row>
    <row r="35" customFormat="false" ht="18" hidden="false" customHeight="true" outlineLevel="0" collapsed="false">
      <c r="A35" s="5" t="s">
        <v>68</v>
      </c>
      <c r="B35" s="18" t="n">
        <f aca="false">COUNTIF(B6:B25,A35)</f>
        <v>0</v>
      </c>
      <c r="C35" s="29" t="n">
        <f aca="false">SUMIFS(K6:K25,B6:B25,A35,M6:M25,"Approved")</f>
        <v>0</v>
      </c>
      <c r="D35" s="29" t="n">
        <f aca="false">SUMIFS(K6:K25,B6:B25,A35,M6:M25,"Submitted")+SUMIFS(K6:K25,B6:B25,A35,M6:M25,"Under Review")+SUMIFS(K6:K25,B6:B25,A35,M6:M25,"Draft")</f>
        <v>0</v>
      </c>
      <c r="E35" s="26" t="n">
        <f aca="false">C35+D35</f>
        <v>0</v>
      </c>
      <c r="F35" s="18" t="n">
        <f aca="false">SUMIFS(L6:L25,B6:B25,A35,M6:M25,"Approved")</f>
        <v>0</v>
      </c>
    </row>
    <row r="36" customFormat="false" ht="18" hidden="false" customHeight="true" outlineLevel="0" collapsed="false">
      <c r="A36" s="5" t="s">
        <v>69</v>
      </c>
      <c r="B36" s="18" t="n">
        <f aca="false">COUNTIF(B6:B25,A36)</f>
        <v>1</v>
      </c>
      <c r="C36" s="29" t="n">
        <f aca="false">SUMIFS(K6:K25,B6:B25,A36,M6:M25,"Approved")</f>
        <v>0</v>
      </c>
      <c r="D36" s="29" t="n">
        <f aca="false">SUMIFS(K6:K25,B6:B25,A36,M6:M25,"Submitted")+SUMIFS(K6:K25,B6:B25,A36,M6:M25,"Under Review")+SUMIFS(K6:K25,B6:B25,A36,M6:M25,"Draft")</f>
        <v>113854.4</v>
      </c>
      <c r="E36" s="26" t="n">
        <f aca="false">C36+D36</f>
        <v>113854.4</v>
      </c>
      <c r="F36" s="18" t="n">
        <f aca="false">SUMIFS(L6:L25,B6:B25,A36,M6:M25,"Approved")</f>
        <v>0</v>
      </c>
    </row>
    <row r="37" customFormat="false" ht="18" hidden="false" customHeight="true" outlineLevel="0" collapsed="false">
      <c r="A37" s="20" t="s">
        <v>70</v>
      </c>
      <c r="B37" s="21" t="n">
        <f aca="false">SUM(B30:B36)</f>
        <v>2</v>
      </c>
      <c r="C37" s="32" t="n">
        <f aca="false">SUM(C30:C36)</f>
        <v>0</v>
      </c>
      <c r="D37" s="32" t="n">
        <f aca="false">SUM(D30:D36)</f>
        <v>113854.4</v>
      </c>
      <c r="E37" s="32" t="n">
        <f aca="false">SUM(E30:E36)</f>
        <v>113854.4</v>
      </c>
      <c r="F37" s="21" t="n">
        <f aca="false">SUM(F30:F36)</f>
        <v>0</v>
      </c>
    </row>
  </sheetData>
  <mergeCells count="4">
    <mergeCell ref="A1:P1"/>
    <mergeCell ref="A2:P2"/>
    <mergeCell ref="A4:P4"/>
    <mergeCell ref="A28:P28"/>
  </mergeCells>
  <dataValidations count="2">
    <dataValidation allowBlank="true" errorStyle="stop" operator="between" showDropDown="false" showErrorMessage="false" showInputMessage="false" sqref="M6:M25" type="list">
      <formula1>"Draft,Submitted,Under Review,Approved,Rejected"</formula1>
      <formula2>0</formula2>
    </dataValidation>
    <dataValidation allowBlank="true" errorStyle="stop" operator="between" showDropDown="false" showErrorMessage="false" showInputMessage="false" sqref="B6:B25" type="list">
      <formula1>"The Parks MC,Brackley MC,Springfield Surgery,Towcester MC,Bugbrooke Surgery,Brook Health Centre,Denton Village Surgery"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10" min="2" style="0" width="20"/>
  </cols>
  <sheetData>
    <row r="1" customFormat="false" ht="27.75" hidden="false" customHeight="true" outlineLevel="0" collapsed="false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59" t="s">
        <v>243</v>
      </c>
      <c r="B2" s="59"/>
      <c r="C2" s="59"/>
      <c r="D2" s="59"/>
      <c r="E2" s="59"/>
      <c r="F2" s="59"/>
      <c r="G2" s="59"/>
      <c r="H2" s="59"/>
      <c r="I2" s="59"/>
      <c r="J2" s="59"/>
    </row>
    <row r="4" customFormat="false" ht="24" hidden="false" customHeight="true" outlineLevel="0" collapsed="false">
      <c r="A4" s="3" t="s">
        <v>244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0" hidden="false" customHeight="true" outlineLevel="0" collapsed="false">
      <c r="A5" s="4" t="s">
        <v>245</v>
      </c>
      <c r="B5" s="4" t="s">
        <v>246</v>
      </c>
      <c r="C5" s="4" t="s">
        <v>99</v>
      </c>
      <c r="D5" s="4" t="s">
        <v>247</v>
      </c>
      <c r="E5" s="4" t="s">
        <v>248</v>
      </c>
      <c r="F5" s="4" t="s">
        <v>249</v>
      </c>
      <c r="G5" s="4" t="s">
        <v>240</v>
      </c>
      <c r="H5" s="4" t="s">
        <v>250</v>
      </c>
      <c r="I5" s="4" t="s">
        <v>251</v>
      </c>
      <c r="J5" s="4" t="s">
        <v>252</v>
      </c>
    </row>
    <row r="6" customFormat="false" ht="18" hidden="false" customHeight="true" outlineLevel="0" collapsed="false">
      <c r="A6" s="18" t="n">
        <v>1</v>
      </c>
      <c r="B6" s="7" t="s">
        <v>253</v>
      </c>
      <c r="C6" s="29" t="n">
        <f aca="false">Assumptions!B8/Assumptions!B18</f>
        <v>196562.226666667</v>
      </c>
      <c r="D6" s="29" t="n">
        <f aca="false">C6*A6</f>
        <v>196562.226666667</v>
      </c>
      <c r="E6" s="56"/>
      <c r="F6" s="56"/>
      <c r="G6" s="29" t="n">
        <f aca="false">E6+F6</f>
        <v>0</v>
      </c>
      <c r="H6" s="29" t="n">
        <f aca="false">G6</f>
        <v>0</v>
      </c>
      <c r="I6" s="26" t="n">
        <f aca="false">D6-H6</f>
        <v>196562.226666667</v>
      </c>
      <c r="J6" s="19" t="n">
        <f aca="false">IF(D6&gt;0,H6/D6,0)</f>
        <v>0</v>
      </c>
    </row>
    <row r="7" customFormat="false" ht="18" hidden="false" customHeight="true" outlineLevel="0" collapsed="false">
      <c r="A7" s="18" t="n">
        <v>2</v>
      </c>
      <c r="B7" s="7" t="s">
        <v>254</v>
      </c>
      <c r="C7" s="29" t="n">
        <f aca="false">Assumptions!B8/Assumptions!B18</f>
        <v>196562.226666667</v>
      </c>
      <c r="D7" s="29" t="n">
        <f aca="false">C7*A7</f>
        <v>393124.453333333</v>
      </c>
      <c r="E7" s="56"/>
      <c r="F7" s="56"/>
      <c r="G7" s="29" t="n">
        <f aca="false">E7+F7</f>
        <v>0</v>
      </c>
      <c r="H7" s="29" t="n">
        <f aca="false">H6+G7</f>
        <v>0</v>
      </c>
      <c r="I7" s="26" t="n">
        <f aca="false">D7-H7</f>
        <v>393124.453333333</v>
      </c>
      <c r="J7" s="19" t="n">
        <f aca="false">IF(D7&gt;0,H7/D7,0)</f>
        <v>0</v>
      </c>
    </row>
    <row r="8" customFormat="false" ht="18" hidden="false" customHeight="true" outlineLevel="0" collapsed="false">
      <c r="A8" s="18" t="n">
        <v>3</v>
      </c>
      <c r="B8" s="7" t="s">
        <v>255</v>
      </c>
      <c r="C8" s="29" t="n">
        <f aca="false">Assumptions!B8/Assumptions!B18</f>
        <v>196562.226666667</v>
      </c>
      <c r="D8" s="29" t="n">
        <f aca="false">C8*A8</f>
        <v>589686.68</v>
      </c>
      <c r="E8" s="56"/>
      <c r="F8" s="56"/>
      <c r="G8" s="29" t="n">
        <f aca="false">E8+F8</f>
        <v>0</v>
      </c>
      <c r="H8" s="29" t="n">
        <f aca="false">H7+G8</f>
        <v>0</v>
      </c>
      <c r="I8" s="26" t="n">
        <f aca="false">D8-H8</f>
        <v>589686.68</v>
      </c>
      <c r="J8" s="19" t="n">
        <f aca="false">IF(D8&gt;0,H8/D8,0)</f>
        <v>0</v>
      </c>
    </row>
    <row r="9" customFormat="false" ht="18" hidden="false" customHeight="true" outlineLevel="0" collapsed="false">
      <c r="A9" s="18" t="n">
        <v>4</v>
      </c>
      <c r="B9" s="7" t="s">
        <v>256</v>
      </c>
      <c r="C9" s="29" t="n">
        <f aca="false">Assumptions!B8/Assumptions!B18</f>
        <v>196562.226666667</v>
      </c>
      <c r="D9" s="29" t="n">
        <f aca="false">C9*A9</f>
        <v>786248.906666667</v>
      </c>
      <c r="E9" s="56"/>
      <c r="F9" s="56"/>
      <c r="G9" s="29" t="n">
        <f aca="false">E9+F9</f>
        <v>0</v>
      </c>
      <c r="H9" s="29" t="n">
        <f aca="false">H8+G9</f>
        <v>0</v>
      </c>
      <c r="I9" s="26" t="n">
        <f aca="false">D9-H9</f>
        <v>786248.906666667</v>
      </c>
      <c r="J9" s="19" t="n">
        <f aca="false">IF(D9&gt;0,H9/D9,0)</f>
        <v>0</v>
      </c>
    </row>
    <row r="10" customFormat="false" ht="18" hidden="false" customHeight="true" outlineLevel="0" collapsed="false">
      <c r="A10" s="18" t="n">
        <v>5</v>
      </c>
      <c r="B10" s="7" t="s">
        <v>257</v>
      </c>
      <c r="C10" s="29" t="n">
        <f aca="false">Assumptions!B8/Assumptions!B18</f>
        <v>196562.226666667</v>
      </c>
      <c r="D10" s="29" t="n">
        <f aca="false">C10*A10</f>
        <v>982811.133333333</v>
      </c>
      <c r="E10" s="56"/>
      <c r="F10" s="56"/>
      <c r="G10" s="29" t="n">
        <f aca="false">E10+F10</f>
        <v>0</v>
      </c>
      <c r="H10" s="29" t="n">
        <f aca="false">H9+G10</f>
        <v>0</v>
      </c>
      <c r="I10" s="26" t="n">
        <f aca="false">D10-H10</f>
        <v>982811.133333333</v>
      </c>
      <c r="J10" s="19" t="n">
        <f aca="false">IF(D10&gt;0,H10/D10,0)</f>
        <v>0</v>
      </c>
    </row>
    <row r="11" customFormat="false" ht="18" hidden="false" customHeight="true" outlineLevel="0" collapsed="false">
      <c r="A11" s="18" t="n">
        <v>6</v>
      </c>
      <c r="B11" s="7" t="s">
        <v>258</v>
      </c>
      <c r="C11" s="29" t="n">
        <f aca="false">Assumptions!B8/Assumptions!B18</f>
        <v>196562.226666667</v>
      </c>
      <c r="D11" s="29" t="n">
        <f aca="false">C11*A11</f>
        <v>1179373.36</v>
      </c>
      <c r="E11" s="56"/>
      <c r="F11" s="56"/>
      <c r="G11" s="29" t="n">
        <f aca="false">E11+F11</f>
        <v>0</v>
      </c>
      <c r="H11" s="29" t="n">
        <f aca="false">H10+G11</f>
        <v>0</v>
      </c>
      <c r="I11" s="26" t="n">
        <f aca="false">D11-H11</f>
        <v>1179373.36</v>
      </c>
      <c r="J11" s="19" t="n">
        <f aca="false">IF(D11&gt;0,H11/D11,0)</f>
        <v>0</v>
      </c>
    </row>
    <row r="12" customFormat="false" ht="18" hidden="false" customHeight="true" outlineLevel="0" collapsed="false">
      <c r="A12" s="18" t="n">
        <v>7</v>
      </c>
      <c r="B12" s="7" t="s">
        <v>259</v>
      </c>
      <c r="C12" s="29" t="n">
        <f aca="false">Assumptions!B8/Assumptions!B18</f>
        <v>196562.226666667</v>
      </c>
      <c r="D12" s="29" t="n">
        <f aca="false">C12*A12</f>
        <v>1375935.58666667</v>
      </c>
      <c r="E12" s="56"/>
      <c r="F12" s="56"/>
      <c r="G12" s="29" t="n">
        <f aca="false">E12+F12</f>
        <v>0</v>
      </c>
      <c r="H12" s="29" t="n">
        <f aca="false">H11+G12</f>
        <v>0</v>
      </c>
      <c r="I12" s="26" t="n">
        <f aca="false">D12-H12</f>
        <v>1375935.58666667</v>
      </c>
      <c r="J12" s="19" t="n">
        <f aca="false">IF(D12&gt;0,H12/D12,0)</f>
        <v>0</v>
      </c>
    </row>
    <row r="13" customFormat="false" ht="18" hidden="false" customHeight="true" outlineLevel="0" collapsed="false">
      <c r="A13" s="18" t="n">
        <v>8</v>
      </c>
      <c r="B13" s="7" t="s">
        <v>260</v>
      </c>
      <c r="C13" s="29" t="n">
        <f aca="false">Assumptions!B8/Assumptions!B18</f>
        <v>196562.226666667</v>
      </c>
      <c r="D13" s="29" t="n">
        <f aca="false">C13*A13</f>
        <v>1572497.81333333</v>
      </c>
      <c r="E13" s="56"/>
      <c r="F13" s="56"/>
      <c r="G13" s="29" t="n">
        <f aca="false">E13+F13</f>
        <v>0</v>
      </c>
      <c r="H13" s="29" t="n">
        <f aca="false">H12+G13</f>
        <v>0</v>
      </c>
      <c r="I13" s="26" t="n">
        <f aca="false">D13-H13</f>
        <v>1572497.81333333</v>
      </c>
      <c r="J13" s="19" t="n">
        <f aca="false">IF(D13&gt;0,H13/D13,0)</f>
        <v>0</v>
      </c>
    </row>
    <row r="14" customFormat="false" ht="18" hidden="false" customHeight="true" outlineLevel="0" collapsed="false">
      <c r="A14" s="18" t="n">
        <v>9</v>
      </c>
      <c r="B14" s="7" t="s">
        <v>261</v>
      </c>
      <c r="C14" s="29" t="n">
        <f aca="false">Assumptions!B8/Assumptions!B18</f>
        <v>196562.226666667</v>
      </c>
      <c r="D14" s="29" t="n">
        <f aca="false">C14*A14</f>
        <v>1769060.04</v>
      </c>
      <c r="E14" s="56"/>
      <c r="F14" s="56"/>
      <c r="G14" s="29" t="n">
        <f aca="false">E14+F14</f>
        <v>0</v>
      </c>
      <c r="H14" s="29" t="n">
        <f aca="false">H13+G14</f>
        <v>0</v>
      </c>
      <c r="I14" s="26" t="n">
        <f aca="false">D14-H14</f>
        <v>1769060.04</v>
      </c>
      <c r="J14" s="19" t="n">
        <f aca="false">IF(D14&gt;0,H14/D14,0)</f>
        <v>0</v>
      </c>
    </row>
    <row r="15" customFormat="false" ht="18" hidden="false" customHeight="true" outlineLevel="0" collapsed="false">
      <c r="A15" s="18" t="n">
        <v>10</v>
      </c>
      <c r="B15" s="7" t="s">
        <v>262</v>
      </c>
      <c r="C15" s="29" t="n">
        <f aca="false">Assumptions!B8/Assumptions!B18</f>
        <v>196562.226666667</v>
      </c>
      <c r="D15" s="29" t="n">
        <f aca="false">C15*A15</f>
        <v>1965622.26666667</v>
      </c>
      <c r="E15" s="56"/>
      <c r="F15" s="56"/>
      <c r="G15" s="29" t="n">
        <f aca="false">E15+F15</f>
        <v>0</v>
      </c>
      <c r="H15" s="29" t="n">
        <f aca="false">H14+G15</f>
        <v>0</v>
      </c>
      <c r="I15" s="26" t="n">
        <f aca="false">D15-H15</f>
        <v>1965622.26666667</v>
      </c>
      <c r="J15" s="19" t="n">
        <f aca="false">IF(D15&gt;0,H15/D15,0)</f>
        <v>0</v>
      </c>
    </row>
    <row r="16" customFormat="false" ht="18" hidden="false" customHeight="true" outlineLevel="0" collapsed="false">
      <c r="A16" s="18" t="n">
        <v>11</v>
      </c>
      <c r="B16" s="7" t="s">
        <v>263</v>
      </c>
      <c r="C16" s="29" t="n">
        <f aca="false">Assumptions!B8/Assumptions!B18</f>
        <v>196562.226666667</v>
      </c>
      <c r="D16" s="29" t="n">
        <f aca="false">C16*A16</f>
        <v>2162184.49333333</v>
      </c>
      <c r="E16" s="56"/>
      <c r="F16" s="56"/>
      <c r="G16" s="29" t="n">
        <f aca="false">E16+F16</f>
        <v>0</v>
      </c>
      <c r="H16" s="29" t="n">
        <f aca="false">H15+G16</f>
        <v>0</v>
      </c>
      <c r="I16" s="26" t="n">
        <f aca="false">D16-H16</f>
        <v>2162184.49333333</v>
      </c>
      <c r="J16" s="19" t="n">
        <f aca="false">IF(D16&gt;0,H16/D16,0)</f>
        <v>0</v>
      </c>
    </row>
    <row r="17" customFormat="false" ht="18" hidden="false" customHeight="true" outlineLevel="0" collapsed="false">
      <c r="A17" s="18" t="n">
        <v>12</v>
      </c>
      <c r="B17" s="7" t="s">
        <v>264</v>
      </c>
      <c r="C17" s="29" t="n">
        <f aca="false">Assumptions!B8/Assumptions!B18</f>
        <v>196562.226666667</v>
      </c>
      <c r="D17" s="29" t="n">
        <f aca="false">C17*A17</f>
        <v>2358746.72</v>
      </c>
      <c r="E17" s="56"/>
      <c r="F17" s="56"/>
      <c r="G17" s="29" t="n">
        <f aca="false">E17+F17</f>
        <v>0</v>
      </c>
      <c r="H17" s="29" t="n">
        <f aca="false">H16+G17</f>
        <v>0</v>
      </c>
      <c r="I17" s="26" t="n">
        <f aca="false">D17-H17</f>
        <v>2358746.72</v>
      </c>
      <c r="J17" s="19" t="n">
        <f aca="false">IF(D17&gt;0,H17/D17,0)</f>
        <v>0</v>
      </c>
    </row>
    <row r="18" customFormat="false" ht="18" hidden="false" customHeight="true" outlineLevel="0" collapsed="false">
      <c r="A18" s="22"/>
      <c r="B18" s="20" t="s">
        <v>265</v>
      </c>
      <c r="C18" s="32" t="n">
        <f aca="false">SUM(C6:C17)</f>
        <v>2358746.72</v>
      </c>
      <c r="D18" s="32" t="n">
        <f aca="false">D17</f>
        <v>2358746.72</v>
      </c>
      <c r="E18" s="32" t="n">
        <f aca="false">SUM(E6:E17)</f>
        <v>0</v>
      </c>
      <c r="F18" s="32" t="n">
        <f aca="false">SUM(F6:F17)</f>
        <v>0</v>
      </c>
      <c r="G18" s="32" t="n">
        <f aca="false">SUM(G6:G17)</f>
        <v>0</v>
      </c>
      <c r="H18" s="32" t="n">
        <f aca="false">H17</f>
        <v>0</v>
      </c>
      <c r="I18" s="32" t="n">
        <f aca="false">I17</f>
        <v>2358746.72</v>
      </c>
      <c r="J18" s="23" t="n">
        <f aca="false">J17</f>
        <v>0</v>
      </c>
    </row>
    <row r="21" customFormat="false" ht="24" hidden="false" customHeight="true" outlineLevel="0" collapsed="false">
      <c r="A21" s="3" t="s">
        <v>266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30" hidden="false" customHeight="true" outlineLevel="0" collapsed="false">
      <c r="A22" s="4" t="s">
        <v>54</v>
      </c>
      <c r="B22" s="4" t="s">
        <v>98</v>
      </c>
      <c r="C22" s="4" t="s">
        <v>99</v>
      </c>
      <c r="D22" s="4" t="s">
        <v>267</v>
      </c>
      <c r="E22" s="4" t="s">
        <v>268</v>
      </c>
      <c r="F22" s="4" t="s">
        <v>269</v>
      </c>
      <c r="G22" s="4" t="s">
        <v>270</v>
      </c>
      <c r="H22" s="4"/>
      <c r="I22" s="4"/>
      <c r="J22" s="4"/>
    </row>
    <row r="23" customFormat="false" ht="18" hidden="false" customHeight="true" outlineLevel="0" collapsed="false">
      <c r="A23" s="5" t="str">
        <f aca="false">'Practice Allocations'!A4</f>
        <v>The Parks MC</v>
      </c>
      <c r="B23" s="29" t="n">
        <f aca="false">'Practice Allocations'!D4</f>
        <v>601034.91</v>
      </c>
      <c r="C23" s="29" t="n">
        <f aca="false">B23/12</f>
        <v>50086.2425</v>
      </c>
      <c r="D23" s="29" t="n">
        <f aca="false">C23*3</f>
        <v>150258.7275</v>
      </c>
      <c r="E23" s="29" t="n">
        <f aca="false">C23*6</f>
        <v>300517.455</v>
      </c>
      <c r="F23" s="29" t="n">
        <f aca="false">C23*9</f>
        <v>450776.1825</v>
      </c>
      <c r="G23" s="29" t="n">
        <f aca="false">B23</f>
        <v>601034.91</v>
      </c>
    </row>
    <row r="24" customFormat="false" ht="18" hidden="false" customHeight="true" outlineLevel="0" collapsed="false">
      <c r="A24" s="5" t="str">
        <f aca="false">'Practice Allocations'!A5</f>
        <v>Brackley MC</v>
      </c>
      <c r="B24" s="29" t="n">
        <f aca="false">'Practice Allocations'!D5</f>
        <v>426861.96</v>
      </c>
      <c r="C24" s="29" t="n">
        <f aca="false">B24/12</f>
        <v>35571.83</v>
      </c>
      <c r="D24" s="29" t="n">
        <f aca="false">C24*3</f>
        <v>106715.49</v>
      </c>
      <c r="E24" s="29" t="n">
        <f aca="false">C24*6</f>
        <v>213430.98</v>
      </c>
      <c r="F24" s="29" t="n">
        <f aca="false">C24*9</f>
        <v>320146.47</v>
      </c>
      <c r="G24" s="29" t="n">
        <f aca="false">B24</f>
        <v>426861.96</v>
      </c>
    </row>
    <row r="25" customFormat="false" ht="18" hidden="false" customHeight="true" outlineLevel="0" collapsed="false">
      <c r="A25" s="5" t="str">
        <f aca="false">'Practice Allocations'!A6</f>
        <v>Springfield Surgery</v>
      </c>
      <c r="B25" s="29" t="n">
        <f aca="false">'Practice Allocations'!D6</f>
        <v>332047.63</v>
      </c>
      <c r="C25" s="29" t="n">
        <f aca="false">B25/12</f>
        <v>27670.6358333333</v>
      </c>
      <c r="D25" s="29" t="n">
        <f aca="false">C25*3</f>
        <v>83011.9075</v>
      </c>
      <c r="E25" s="29" t="n">
        <f aca="false">C25*6</f>
        <v>166023.815</v>
      </c>
      <c r="F25" s="29" t="n">
        <f aca="false">C25*9</f>
        <v>249035.7225</v>
      </c>
      <c r="G25" s="29" t="n">
        <f aca="false">B25</f>
        <v>332047.63</v>
      </c>
    </row>
    <row r="26" customFormat="false" ht="18" hidden="false" customHeight="true" outlineLevel="0" collapsed="false">
      <c r="A26" s="5" t="str">
        <f aca="false">'Practice Allocations'!A7</f>
        <v>Towcester MC</v>
      </c>
      <c r="B26" s="29" t="n">
        <f aca="false">'Practice Allocations'!D7</f>
        <v>309324.84</v>
      </c>
      <c r="C26" s="29" t="n">
        <f aca="false">B26/12</f>
        <v>25777.07</v>
      </c>
      <c r="D26" s="29" t="n">
        <f aca="false">C26*3</f>
        <v>77331.21</v>
      </c>
      <c r="E26" s="29" t="n">
        <f aca="false">C26*6</f>
        <v>154662.42</v>
      </c>
      <c r="F26" s="29" t="n">
        <f aca="false">C26*9</f>
        <v>231993.63</v>
      </c>
      <c r="G26" s="29" t="n">
        <f aca="false">B26</f>
        <v>309324.84</v>
      </c>
    </row>
    <row r="27" customFormat="false" ht="18" hidden="false" customHeight="true" outlineLevel="0" collapsed="false">
      <c r="A27" s="5" t="str">
        <f aca="false">'Practice Allocations'!A8</f>
        <v>Bugbrooke Surgery</v>
      </c>
      <c r="B27" s="29" t="n">
        <f aca="false">'Practice Allocations'!D8</f>
        <v>284048.04</v>
      </c>
      <c r="C27" s="29" t="n">
        <f aca="false">B27/12</f>
        <v>23670.67</v>
      </c>
      <c r="D27" s="29" t="n">
        <f aca="false">C27*3</f>
        <v>71012.01</v>
      </c>
      <c r="E27" s="29" t="n">
        <f aca="false">C27*6</f>
        <v>142024.02</v>
      </c>
      <c r="F27" s="29" t="n">
        <f aca="false">C27*9</f>
        <v>213036.03</v>
      </c>
      <c r="G27" s="29" t="n">
        <f aca="false">B27</f>
        <v>284048.04</v>
      </c>
    </row>
    <row r="28" customFormat="false" ht="18" hidden="false" customHeight="true" outlineLevel="0" collapsed="false">
      <c r="A28" s="5" t="str">
        <f aca="false">'Practice Allocations'!A9</f>
        <v>Brook Health Centre</v>
      </c>
      <c r="B28" s="29" t="n">
        <f aca="false">'Practice Allocations'!D9</f>
        <v>238786.77</v>
      </c>
      <c r="C28" s="29" t="n">
        <f aca="false">B28/12</f>
        <v>19898.8975</v>
      </c>
      <c r="D28" s="29" t="n">
        <f aca="false">C28*3</f>
        <v>59696.6925</v>
      </c>
      <c r="E28" s="29" t="n">
        <f aca="false">C28*6</f>
        <v>119393.385</v>
      </c>
      <c r="F28" s="29" t="n">
        <f aca="false">C28*9</f>
        <v>179090.0775</v>
      </c>
      <c r="G28" s="29" t="n">
        <f aca="false">B28</f>
        <v>238786.77</v>
      </c>
    </row>
    <row r="29" customFormat="false" ht="18" hidden="false" customHeight="true" outlineLevel="0" collapsed="false">
      <c r="A29" s="5" t="str">
        <f aca="false">'Practice Allocations'!A10</f>
        <v>Denton Village Surgery</v>
      </c>
      <c r="B29" s="29" t="n">
        <f aca="false">'Practice Allocations'!D10</f>
        <v>166642.57</v>
      </c>
      <c r="C29" s="29" t="n">
        <f aca="false">B29/12</f>
        <v>13886.8808333333</v>
      </c>
      <c r="D29" s="29" t="n">
        <f aca="false">C29*3</f>
        <v>41660.6425</v>
      </c>
      <c r="E29" s="29" t="n">
        <f aca="false">C29*6</f>
        <v>83321.285</v>
      </c>
      <c r="F29" s="29" t="n">
        <f aca="false">C29*9</f>
        <v>124981.9275</v>
      </c>
      <c r="G29" s="29" t="n">
        <f aca="false">B29</f>
        <v>166642.57</v>
      </c>
    </row>
    <row r="30" customFormat="false" ht="18" hidden="false" customHeight="true" outlineLevel="0" collapsed="false">
      <c r="A30" s="20" t="s">
        <v>70</v>
      </c>
      <c r="B30" s="32" t="n">
        <f aca="false">SUM(B23:B29)</f>
        <v>2358746.72</v>
      </c>
      <c r="C30" s="32" t="n">
        <f aca="false">SUM(C23:C29)</f>
        <v>196562.226666667</v>
      </c>
      <c r="D30" s="32" t="n">
        <f aca="false">SUM(D23:D29)</f>
        <v>589686.68</v>
      </c>
      <c r="E30" s="32" t="n">
        <f aca="false">SUM(E23:E29)</f>
        <v>1179373.36</v>
      </c>
      <c r="F30" s="32" t="n">
        <f aca="false">SUM(F23:F29)</f>
        <v>1769060.04</v>
      </c>
      <c r="G30" s="32" t="n">
        <f aca="false">SUM(G23:G29)</f>
        <v>2358746.72</v>
      </c>
    </row>
  </sheetData>
  <mergeCells count="4">
    <mergeCell ref="A1:J1"/>
    <mergeCell ref="A2:J2"/>
    <mergeCell ref="A4:J4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12" min="3" style="0" width="16"/>
  </cols>
  <sheetData>
    <row r="1" customFormat="false" ht="27.75" hidden="false" customHeight="true" outlineLevel="0" collapsed="false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60" t="s">
        <v>272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customFormat="false" ht="30" hidden="false" customHeight="true" outlineLevel="0" collapsed="false">
      <c r="A3" s="4" t="s">
        <v>273</v>
      </c>
      <c r="B3" s="4" t="s">
        <v>274</v>
      </c>
      <c r="C3" s="4" t="s">
        <v>59</v>
      </c>
      <c r="D3" s="4" t="s">
        <v>62</v>
      </c>
      <c r="E3" s="4" t="s">
        <v>137</v>
      </c>
      <c r="F3" s="4" t="s">
        <v>66</v>
      </c>
      <c r="G3" s="4" t="s">
        <v>140</v>
      </c>
      <c r="H3" s="4" t="s">
        <v>159</v>
      </c>
      <c r="I3" s="4" t="s">
        <v>160</v>
      </c>
      <c r="J3" s="4" t="s">
        <v>275</v>
      </c>
      <c r="K3" s="4" t="s">
        <v>276</v>
      </c>
      <c r="L3" s="4" t="s">
        <v>277</v>
      </c>
    </row>
    <row r="4" customFormat="false" ht="18" hidden="false" customHeight="true" outlineLevel="0" collapsed="false">
      <c r="A4" s="18" t="n">
        <v>1</v>
      </c>
      <c r="B4" s="58" t="s">
        <v>278</v>
      </c>
      <c r="C4" s="55"/>
      <c r="D4" s="55"/>
      <c r="E4" s="55"/>
      <c r="F4" s="55"/>
      <c r="G4" s="55"/>
      <c r="H4" s="55"/>
      <c r="I4" s="55"/>
      <c r="J4" s="51" t="n">
        <f aca="false">SUM(C4:I4)</f>
        <v>0</v>
      </c>
      <c r="K4" s="31" t="n">
        <f aca="false">IF(B4="Winter",'Practice Allocations'!J11,'Practice Allocations'!G11)</f>
        <v>1630.4288</v>
      </c>
      <c r="L4" s="5" t="str">
        <f aca="false">IF(J4="","",IF(J4&gt;=K4,"GREEN",IF(J4&gt;=K4*0.8,"AMBER","RED")))</f>
        <v>RED</v>
      </c>
    </row>
    <row r="5" customFormat="false" ht="18" hidden="false" customHeight="true" outlineLevel="0" collapsed="false">
      <c r="A5" s="18" t="n">
        <v>2</v>
      </c>
      <c r="B5" s="58" t="s">
        <v>278</v>
      </c>
      <c r="C5" s="55"/>
      <c r="D5" s="55"/>
      <c r="E5" s="55"/>
      <c r="F5" s="55"/>
      <c r="G5" s="55"/>
      <c r="H5" s="55"/>
      <c r="I5" s="55"/>
      <c r="J5" s="51" t="n">
        <f aca="false">SUM(C5:I5)</f>
        <v>0</v>
      </c>
      <c r="K5" s="31" t="n">
        <f aca="false">IF(B5="Winter",'Practice Allocations'!J11,'Practice Allocations'!G11)</f>
        <v>1630.4288</v>
      </c>
      <c r="L5" s="5" t="str">
        <f aca="false">IF(J5="","",IF(J5&gt;=K5,"GREEN",IF(J5&gt;=K5*0.8,"AMBER","RED")))</f>
        <v>RED</v>
      </c>
    </row>
    <row r="6" customFormat="false" ht="18" hidden="false" customHeight="true" outlineLevel="0" collapsed="false">
      <c r="A6" s="18" t="n">
        <v>3</v>
      </c>
      <c r="B6" s="58" t="s">
        <v>278</v>
      </c>
      <c r="C6" s="55"/>
      <c r="D6" s="55"/>
      <c r="E6" s="55"/>
      <c r="F6" s="55"/>
      <c r="G6" s="55"/>
      <c r="H6" s="55"/>
      <c r="I6" s="55"/>
      <c r="J6" s="51" t="n">
        <f aca="false">SUM(C6:I6)</f>
        <v>0</v>
      </c>
      <c r="K6" s="31" t="n">
        <f aca="false">IF(B6="Winter",'Practice Allocations'!J11,'Practice Allocations'!G11)</f>
        <v>1630.4288</v>
      </c>
      <c r="L6" s="5" t="str">
        <f aca="false">IF(J6="","",IF(J6&gt;=K6,"GREEN",IF(J6&gt;=K6*0.8,"AMBER","RED")))</f>
        <v>RED</v>
      </c>
    </row>
    <row r="7" customFormat="false" ht="18" hidden="false" customHeight="true" outlineLevel="0" collapsed="false">
      <c r="A7" s="18" t="n">
        <v>4</v>
      </c>
      <c r="B7" s="58" t="s">
        <v>278</v>
      </c>
      <c r="C7" s="55"/>
      <c r="D7" s="55"/>
      <c r="E7" s="55"/>
      <c r="F7" s="55"/>
      <c r="G7" s="55"/>
      <c r="H7" s="55"/>
      <c r="I7" s="55"/>
      <c r="J7" s="51" t="n">
        <f aca="false">SUM(C7:I7)</f>
        <v>0</v>
      </c>
      <c r="K7" s="31" t="n">
        <f aca="false">IF(B7="Winter",'Practice Allocations'!J11,'Practice Allocations'!G11)</f>
        <v>1630.4288</v>
      </c>
      <c r="L7" s="5" t="str">
        <f aca="false">IF(J7="","",IF(J7&gt;=K7,"GREEN",IF(J7&gt;=K7*0.8,"AMBER","RED")))</f>
        <v>RED</v>
      </c>
    </row>
    <row r="8" customFormat="false" ht="18" hidden="false" customHeight="true" outlineLevel="0" collapsed="false">
      <c r="A8" s="18" t="n">
        <v>5</v>
      </c>
      <c r="B8" s="58" t="s">
        <v>278</v>
      </c>
      <c r="C8" s="55"/>
      <c r="D8" s="55"/>
      <c r="E8" s="55"/>
      <c r="F8" s="55"/>
      <c r="G8" s="55"/>
      <c r="H8" s="55"/>
      <c r="I8" s="55"/>
      <c r="J8" s="51" t="n">
        <f aca="false">SUM(C8:I8)</f>
        <v>0</v>
      </c>
      <c r="K8" s="31" t="n">
        <f aca="false">IF(B8="Winter",'Practice Allocations'!J11,'Practice Allocations'!G11)</f>
        <v>1630.4288</v>
      </c>
      <c r="L8" s="5" t="str">
        <f aca="false">IF(J8="","",IF(J8&gt;=K8,"GREEN",IF(J8&gt;=K8*0.8,"AMBER","RED")))</f>
        <v>RED</v>
      </c>
    </row>
    <row r="9" customFormat="false" ht="18" hidden="false" customHeight="true" outlineLevel="0" collapsed="false">
      <c r="A9" s="18" t="n">
        <v>6</v>
      </c>
      <c r="B9" s="58" t="s">
        <v>278</v>
      </c>
      <c r="C9" s="55"/>
      <c r="D9" s="55"/>
      <c r="E9" s="55"/>
      <c r="F9" s="55"/>
      <c r="G9" s="55"/>
      <c r="H9" s="55"/>
      <c r="I9" s="55"/>
      <c r="J9" s="51" t="n">
        <f aca="false">SUM(C9:I9)</f>
        <v>0</v>
      </c>
      <c r="K9" s="31" t="n">
        <f aca="false">IF(B9="Winter",'Practice Allocations'!J11,'Practice Allocations'!G11)</f>
        <v>1630.4288</v>
      </c>
      <c r="L9" s="5" t="str">
        <f aca="false">IF(J9="","",IF(J9&gt;=K9,"GREEN",IF(J9&gt;=K9*0.8,"AMBER","RED")))</f>
        <v>RED</v>
      </c>
    </row>
    <row r="10" customFormat="false" ht="18" hidden="false" customHeight="true" outlineLevel="0" collapsed="false">
      <c r="A10" s="18" t="n">
        <v>7</v>
      </c>
      <c r="B10" s="58" t="s">
        <v>278</v>
      </c>
      <c r="C10" s="55"/>
      <c r="D10" s="55"/>
      <c r="E10" s="55"/>
      <c r="F10" s="55"/>
      <c r="G10" s="55"/>
      <c r="H10" s="55"/>
      <c r="I10" s="55"/>
      <c r="J10" s="51" t="n">
        <f aca="false">SUM(C10:I10)</f>
        <v>0</v>
      </c>
      <c r="K10" s="31" t="n">
        <f aca="false">IF(B10="Winter",'Practice Allocations'!J11,'Practice Allocations'!G11)</f>
        <v>1630.4288</v>
      </c>
      <c r="L10" s="5" t="str">
        <f aca="false">IF(J10="","",IF(J10&gt;=K10,"GREEN",IF(J10&gt;=K10*0.8,"AMBER","RED")))</f>
        <v>RED</v>
      </c>
    </row>
    <row r="11" customFormat="false" ht="18" hidden="false" customHeight="true" outlineLevel="0" collapsed="false">
      <c r="A11" s="18" t="n">
        <v>8</v>
      </c>
      <c r="B11" s="58" t="s">
        <v>278</v>
      </c>
      <c r="C11" s="55"/>
      <c r="D11" s="55"/>
      <c r="E11" s="55"/>
      <c r="F11" s="55"/>
      <c r="G11" s="55"/>
      <c r="H11" s="55"/>
      <c r="I11" s="55"/>
      <c r="J11" s="51" t="n">
        <f aca="false">SUM(C11:I11)</f>
        <v>0</v>
      </c>
      <c r="K11" s="31" t="n">
        <f aca="false">IF(B11="Winter",'Practice Allocations'!J11,'Practice Allocations'!G11)</f>
        <v>1630.4288</v>
      </c>
      <c r="L11" s="5" t="str">
        <f aca="false">IF(J11="","",IF(J11&gt;=K11,"GREEN",IF(J11&gt;=K11*0.8,"AMBER","RED")))</f>
        <v>RED</v>
      </c>
    </row>
    <row r="12" customFormat="false" ht="18" hidden="false" customHeight="true" outlineLevel="0" collapsed="false">
      <c r="A12" s="18" t="n">
        <v>9</v>
      </c>
      <c r="B12" s="58" t="s">
        <v>278</v>
      </c>
      <c r="C12" s="55"/>
      <c r="D12" s="55"/>
      <c r="E12" s="55"/>
      <c r="F12" s="55"/>
      <c r="G12" s="55"/>
      <c r="H12" s="55"/>
      <c r="I12" s="55"/>
      <c r="J12" s="51" t="n">
        <f aca="false">SUM(C12:I12)</f>
        <v>0</v>
      </c>
      <c r="K12" s="31" t="n">
        <f aca="false">IF(B12="Winter",'Practice Allocations'!J11,'Practice Allocations'!G11)</f>
        <v>1630.4288</v>
      </c>
      <c r="L12" s="5" t="str">
        <f aca="false">IF(J12="","",IF(J12&gt;=K12,"GREEN",IF(J12&gt;=K12*0.8,"AMBER","RED")))</f>
        <v>RED</v>
      </c>
    </row>
    <row r="13" customFormat="false" ht="18" hidden="false" customHeight="true" outlineLevel="0" collapsed="false">
      <c r="A13" s="18" t="n">
        <v>10</v>
      </c>
      <c r="B13" s="58" t="s">
        <v>278</v>
      </c>
      <c r="C13" s="55"/>
      <c r="D13" s="55"/>
      <c r="E13" s="55"/>
      <c r="F13" s="55"/>
      <c r="G13" s="55"/>
      <c r="H13" s="55"/>
      <c r="I13" s="55"/>
      <c r="J13" s="51" t="n">
        <f aca="false">SUM(C13:I13)</f>
        <v>0</v>
      </c>
      <c r="K13" s="31" t="n">
        <f aca="false">IF(B13="Winter",'Practice Allocations'!J11,'Practice Allocations'!G11)</f>
        <v>1630.4288</v>
      </c>
      <c r="L13" s="5" t="str">
        <f aca="false">IF(J13="","",IF(J13&gt;=K13,"GREEN",IF(J13&gt;=K13*0.8,"AMBER","RED")))</f>
        <v>RED</v>
      </c>
    </row>
    <row r="14" customFormat="false" ht="18" hidden="false" customHeight="true" outlineLevel="0" collapsed="false">
      <c r="A14" s="18" t="n">
        <v>11</v>
      </c>
      <c r="B14" s="58" t="s">
        <v>278</v>
      </c>
      <c r="C14" s="55"/>
      <c r="D14" s="55"/>
      <c r="E14" s="55"/>
      <c r="F14" s="55"/>
      <c r="G14" s="55"/>
      <c r="H14" s="55"/>
      <c r="I14" s="55"/>
      <c r="J14" s="51" t="n">
        <f aca="false">SUM(C14:I14)</f>
        <v>0</v>
      </c>
      <c r="K14" s="31" t="n">
        <f aca="false">IF(B14="Winter",'Practice Allocations'!J11,'Practice Allocations'!G11)</f>
        <v>1630.4288</v>
      </c>
      <c r="L14" s="5" t="str">
        <f aca="false">IF(J14="","",IF(J14&gt;=K14,"GREEN",IF(J14&gt;=K14*0.8,"AMBER","RED")))</f>
        <v>RED</v>
      </c>
    </row>
    <row r="15" customFormat="false" ht="18" hidden="false" customHeight="true" outlineLevel="0" collapsed="false">
      <c r="A15" s="18" t="n">
        <v>12</v>
      </c>
      <c r="B15" s="58" t="s">
        <v>278</v>
      </c>
      <c r="C15" s="55"/>
      <c r="D15" s="55"/>
      <c r="E15" s="55"/>
      <c r="F15" s="55"/>
      <c r="G15" s="55"/>
      <c r="H15" s="55"/>
      <c r="I15" s="55"/>
      <c r="J15" s="51" t="n">
        <f aca="false">SUM(C15:I15)</f>
        <v>0</v>
      </c>
      <c r="K15" s="31" t="n">
        <f aca="false">IF(B15="Winter",'Practice Allocations'!J11,'Practice Allocations'!G11)</f>
        <v>1630.4288</v>
      </c>
      <c r="L15" s="5" t="str">
        <f aca="false">IF(J15="","",IF(J15&gt;=K15,"GREEN",IF(J15&gt;=K15*0.8,"AMBER","RED")))</f>
        <v>RED</v>
      </c>
    </row>
    <row r="16" customFormat="false" ht="18" hidden="false" customHeight="true" outlineLevel="0" collapsed="false">
      <c r="A16" s="18" t="n">
        <v>13</v>
      </c>
      <c r="B16" s="61" t="s">
        <v>170</v>
      </c>
      <c r="C16" s="55"/>
      <c r="D16" s="55"/>
      <c r="E16" s="55"/>
      <c r="F16" s="55"/>
      <c r="G16" s="55"/>
      <c r="H16" s="55"/>
      <c r="I16" s="55"/>
      <c r="J16" s="51" t="n">
        <f aca="false">SUM(C16:I16)</f>
        <v>0</v>
      </c>
      <c r="K16" s="31" t="n">
        <f aca="false">IF(B16="Winter",'Practice Allocations'!J11,'Practice Allocations'!G11)</f>
        <v>1361.6768</v>
      </c>
      <c r="L16" s="5" t="str">
        <f aca="false">IF(J16="","",IF(J16&gt;=K16,"GREEN",IF(J16&gt;=K16*0.8,"AMBER","RED")))</f>
        <v>RED</v>
      </c>
    </row>
    <row r="17" customFormat="false" ht="18" hidden="false" customHeight="true" outlineLevel="0" collapsed="false">
      <c r="A17" s="18" t="n">
        <v>14</v>
      </c>
      <c r="B17" s="61" t="s">
        <v>170</v>
      </c>
      <c r="C17" s="55"/>
      <c r="D17" s="55"/>
      <c r="E17" s="55"/>
      <c r="F17" s="55"/>
      <c r="G17" s="55"/>
      <c r="H17" s="55"/>
      <c r="I17" s="55"/>
      <c r="J17" s="51" t="n">
        <f aca="false">SUM(C17:I17)</f>
        <v>0</v>
      </c>
      <c r="K17" s="31" t="n">
        <f aca="false">IF(B17="Winter",'Practice Allocations'!J11,'Practice Allocations'!G11)</f>
        <v>1361.6768</v>
      </c>
      <c r="L17" s="5" t="str">
        <f aca="false">IF(J17="","",IF(J17&gt;=K17,"GREEN",IF(J17&gt;=K17*0.8,"AMBER","RED")))</f>
        <v>RED</v>
      </c>
    </row>
    <row r="18" customFormat="false" ht="18" hidden="false" customHeight="true" outlineLevel="0" collapsed="false">
      <c r="A18" s="18" t="n">
        <v>15</v>
      </c>
      <c r="B18" s="61" t="s">
        <v>170</v>
      </c>
      <c r="C18" s="55"/>
      <c r="D18" s="55"/>
      <c r="E18" s="55"/>
      <c r="F18" s="55"/>
      <c r="G18" s="55"/>
      <c r="H18" s="55"/>
      <c r="I18" s="55"/>
      <c r="J18" s="51" t="n">
        <f aca="false">SUM(C18:I18)</f>
        <v>0</v>
      </c>
      <c r="K18" s="31" t="n">
        <f aca="false">IF(B18="Winter",'Practice Allocations'!J11,'Practice Allocations'!G11)</f>
        <v>1361.6768</v>
      </c>
      <c r="L18" s="5" t="str">
        <f aca="false">IF(J18="","",IF(J18&gt;=K18,"GREEN",IF(J18&gt;=K18*0.8,"AMBER","RED")))</f>
        <v>RED</v>
      </c>
    </row>
    <row r="19" customFormat="false" ht="18" hidden="false" customHeight="true" outlineLevel="0" collapsed="false">
      <c r="A19" s="18" t="n">
        <v>16</v>
      </c>
      <c r="B19" s="61" t="s">
        <v>170</v>
      </c>
      <c r="C19" s="55"/>
      <c r="D19" s="55"/>
      <c r="E19" s="55"/>
      <c r="F19" s="55"/>
      <c r="G19" s="55"/>
      <c r="H19" s="55"/>
      <c r="I19" s="55"/>
      <c r="J19" s="51" t="n">
        <f aca="false">SUM(C19:I19)</f>
        <v>0</v>
      </c>
      <c r="K19" s="31" t="n">
        <f aca="false">IF(B19="Winter",'Practice Allocations'!J11,'Practice Allocations'!G11)</f>
        <v>1361.6768</v>
      </c>
      <c r="L19" s="5" t="str">
        <f aca="false">IF(J19="","",IF(J19&gt;=K19,"GREEN",IF(J19&gt;=K19*0.8,"AMBER","RED")))</f>
        <v>RED</v>
      </c>
    </row>
    <row r="20" customFormat="false" ht="18" hidden="false" customHeight="true" outlineLevel="0" collapsed="false">
      <c r="A20" s="18" t="n">
        <v>17</v>
      </c>
      <c r="B20" s="61" t="s">
        <v>170</v>
      </c>
      <c r="C20" s="55"/>
      <c r="D20" s="55"/>
      <c r="E20" s="55"/>
      <c r="F20" s="55"/>
      <c r="G20" s="55"/>
      <c r="H20" s="55"/>
      <c r="I20" s="55"/>
      <c r="J20" s="51" t="n">
        <f aca="false">SUM(C20:I20)</f>
        <v>0</v>
      </c>
      <c r="K20" s="31" t="n">
        <f aca="false">IF(B20="Winter",'Practice Allocations'!J11,'Practice Allocations'!G11)</f>
        <v>1361.6768</v>
      </c>
      <c r="L20" s="5" t="str">
        <f aca="false">IF(J20="","",IF(J20&gt;=K20,"GREEN",IF(J20&gt;=K20*0.8,"AMBER","RED")))</f>
        <v>RED</v>
      </c>
    </row>
    <row r="21" customFormat="false" ht="18" hidden="false" customHeight="true" outlineLevel="0" collapsed="false">
      <c r="A21" s="18" t="n">
        <v>18</v>
      </c>
      <c r="B21" s="61" t="s">
        <v>170</v>
      </c>
      <c r="C21" s="55"/>
      <c r="D21" s="55"/>
      <c r="E21" s="55"/>
      <c r="F21" s="55"/>
      <c r="G21" s="55"/>
      <c r="H21" s="55"/>
      <c r="I21" s="55"/>
      <c r="J21" s="51" t="n">
        <f aca="false">SUM(C21:I21)</f>
        <v>0</v>
      </c>
      <c r="K21" s="31" t="n">
        <f aca="false">IF(B21="Winter",'Practice Allocations'!J11,'Practice Allocations'!G11)</f>
        <v>1361.6768</v>
      </c>
      <c r="L21" s="5" t="str">
        <f aca="false">IF(J21="","",IF(J21&gt;=K21,"GREEN",IF(J21&gt;=K21*0.8,"AMBER","RED")))</f>
        <v>RED</v>
      </c>
    </row>
    <row r="22" customFormat="false" ht="18" hidden="false" customHeight="true" outlineLevel="0" collapsed="false">
      <c r="A22" s="18" t="n">
        <v>19</v>
      </c>
      <c r="B22" s="61" t="s">
        <v>170</v>
      </c>
      <c r="C22" s="55"/>
      <c r="D22" s="55"/>
      <c r="E22" s="55"/>
      <c r="F22" s="55"/>
      <c r="G22" s="55"/>
      <c r="H22" s="55"/>
      <c r="I22" s="55"/>
      <c r="J22" s="51" t="n">
        <f aca="false">SUM(C22:I22)</f>
        <v>0</v>
      </c>
      <c r="K22" s="31" t="n">
        <f aca="false">IF(B22="Winter",'Practice Allocations'!J11,'Practice Allocations'!G11)</f>
        <v>1361.6768</v>
      </c>
      <c r="L22" s="5" t="str">
        <f aca="false">IF(J22="","",IF(J22&gt;=K22,"GREEN",IF(J22&gt;=K22*0.8,"AMBER","RED")))</f>
        <v>RED</v>
      </c>
    </row>
    <row r="23" customFormat="false" ht="18" hidden="false" customHeight="true" outlineLevel="0" collapsed="false">
      <c r="A23" s="18" t="n">
        <v>20</v>
      </c>
      <c r="B23" s="61" t="s">
        <v>170</v>
      </c>
      <c r="C23" s="55"/>
      <c r="D23" s="55"/>
      <c r="E23" s="55"/>
      <c r="F23" s="55"/>
      <c r="G23" s="55"/>
      <c r="H23" s="55"/>
      <c r="I23" s="55"/>
      <c r="J23" s="51" t="n">
        <f aca="false">SUM(C23:I23)</f>
        <v>0</v>
      </c>
      <c r="K23" s="31" t="n">
        <f aca="false">IF(B23="Winter",'Practice Allocations'!J11,'Practice Allocations'!G11)</f>
        <v>1361.6768</v>
      </c>
      <c r="L23" s="5" t="str">
        <f aca="false">IF(J23="","",IF(J23&gt;=K23,"GREEN",IF(J23&gt;=K23*0.8,"AMBER","RED")))</f>
        <v>RED</v>
      </c>
    </row>
    <row r="24" customFormat="false" ht="18" hidden="false" customHeight="true" outlineLevel="0" collapsed="false">
      <c r="A24" s="18" t="n">
        <v>21</v>
      </c>
      <c r="B24" s="61" t="s">
        <v>170</v>
      </c>
      <c r="C24" s="55"/>
      <c r="D24" s="55"/>
      <c r="E24" s="55"/>
      <c r="F24" s="55"/>
      <c r="G24" s="55"/>
      <c r="H24" s="55"/>
      <c r="I24" s="55"/>
      <c r="J24" s="51" t="n">
        <f aca="false">SUM(C24:I24)</f>
        <v>0</v>
      </c>
      <c r="K24" s="31" t="n">
        <f aca="false">IF(B24="Winter",'Practice Allocations'!J11,'Practice Allocations'!G11)</f>
        <v>1361.6768</v>
      </c>
      <c r="L24" s="5" t="str">
        <f aca="false">IF(J24="","",IF(J24&gt;=K24,"GREEN",IF(J24&gt;=K24*0.8,"AMBER","RED")))</f>
        <v>RED</v>
      </c>
    </row>
    <row r="25" customFormat="false" ht="18" hidden="false" customHeight="true" outlineLevel="0" collapsed="false">
      <c r="A25" s="18" t="n">
        <v>22</v>
      </c>
      <c r="B25" s="61" t="s">
        <v>170</v>
      </c>
      <c r="C25" s="55"/>
      <c r="D25" s="55"/>
      <c r="E25" s="55"/>
      <c r="F25" s="55"/>
      <c r="G25" s="55"/>
      <c r="H25" s="55"/>
      <c r="I25" s="55"/>
      <c r="J25" s="51" t="n">
        <f aca="false">SUM(C25:I25)</f>
        <v>0</v>
      </c>
      <c r="K25" s="31" t="n">
        <f aca="false">IF(B25="Winter",'Practice Allocations'!J11,'Practice Allocations'!G11)</f>
        <v>1361.6768</v>
      </c>
      <c r="L25" s="5" t="str">
        <f aca="false">IF(J25="","",IF(J25&gt;=K25,"GREEN",IF(J25&gt;=K25*0.8,"AMBER","RED")))</f>
        <v>RED</v>
      </c>
    </row>
    <row r="26" customFormat="false" ht="18" hidden="false" customHeight="true" outlineLevel="0" collapsed="false">
      <c r="A26" s="18" t="n">
        <v>23</v>
      </c>
      <c r="B26" s="61" t="s">
        <v>170</v>
      </c>
      <c r="C26" s="55"/>
      <c r="D26" s="55"/>
      <c r="E26" s="55"/>
      <c r="F26" s="55"/>
      <c r="G26" s="55"/>
      <c r="H26" s="55"/>
      <c r="I26" s="55"/>
      <c r="J26" s="51" t="n">
        <f aca="false">SUM(C26:I26)</f>
        <v>0</v>
      </c>
      <c r="K26" s="31" t="n">
        <f aca="false">IF(B26="Winter",'Practice Allocations'!J11,'Practice Allocations'!G11)</f>
        <v>1361.6768</v>
      </c>
      <c r="L26" s="5" t="str">
        <f aca="false">IF(J26="","",IF(J26&gt;=K26,"GREEN",IF(J26&gt;=K26*0.8,"AMBER","RED")))</f>
        <v>RED</v>
      </c>
    </row>
    <row r="27" customFormat="false" ht="18" hidden="false" customHeight="true" outlineLevel="0" collapsed="false">
      <c r="A27" s="18" t="n">
        <v>24</v>
      </c>
      <c r="B27" s="61" t="s">
        <v>170</v>
      </c>
      <c r="C27" s="55"/>
      <c r="D27" s="55"/>
      <c r="E27" s="55"/>
      <c r="F27" s="55"/>
      <c r="G27" s="55"/>
      <c r="H27" s="55"/>
      <c r="I27" s="55"/>
      <c r="J27" s="51" t="n">
        <f aca="false">SUM(C27:I27)</f>
        <v>0</v>
      </c>
      <c r="K27" s="31" t="n">
        <f aca="false">IF(B27="Winter",'Practice Allocations'!J11,'Practice Allocations'!G11)</f>
        <v>1361.6768</v>
      </c>
      <c r="L27" s="5" t="str">
        <f aca="false">IF(J27="","",IF(J27&gt;=K27,"GREEN",IF(J27&gt;=K27*0.8,"AMBER","RED")))</f>
        <v>RED</v>
      </c>
    </row>
    <row r="28" customFormat="false" ht="18" hidden="false" customHeight="true" outlineLevel="0" collapsed="false">
      <c r="A28" s="18" t="n">
        <v>25</v>
      </c>
      <c r="B28" s="61" t="s">
        <v>170</v>
      </c>
      <c r="C28" s="55"/>
      <c r="D28" s="55"/>
      <c r="E28" s="55"/>
      <c r="F28" s="55"/>
      <c r="G28" s="55"/>
      <c r="H28" s="55"/>
      <c r="I28" s="55"/>
      <c r="J28" s="51" t="n">
        <f aca="false">SUM(C28:I28)</f>
        <v>0</v>
      </c>
      <c r="K28" s="31" t="n">
        <f aca="false">IF(B28="Winter",'Practice Allocations'!J11,'Practice Allocations'!G11)</f>
        <v>1361.6768</v>
      </c>
      <c r="L28" s="5" t="str">
        <f aca="false">IF(J28="","",IF(J28&gt;=K28,"GREEN",IF(J28&gt;=K28*0.8,"AMBER","RED")))</f>
        <v>RED</v>
      </c>
    </row>
    <row r="29" customFormat="false" ht="18" hidden="false" customHeight="true" outlineLevel="0" collapsed="false">
      <c r="A29" s="18" t="n">
        <v>26</v>
      </c>
      <c r="B29" s="61" t="s">
        <v>170</v>
      </c>
      <c r="C29" s="55"/>
      <c r="D29" s="55"/>
      <c r="E29" s="55"/>
      <c r="F29" s="55"/>
      <c r="G29" s="55"/>
      <c r="H29" s="55"/>
      <c r="I29" s="55"/>
      <c r="J29" s="51" t="n">
        <f aca="false">SUM(C29:I29)</f>
        <v>0</v>
      </c>
      <c r="K29" s="31" t="n">
        <f aca="false">IF(B29="Winter",'Practice Allocations'!J11,'Practice Allocations'!G11)</f>
        <v>1361.6768</v>
      </c>
      <c r="L29" s="5" t="str">
        <f aca="false">IF(J29="","",IF(J29&gt;=K29,"GREEN",IF(J29&gt;=K29*0.8,"AMBER","RED")))</f>
        <v>RED</v>
      </c>
    </row>
    <row r="30" customFormat="false" ht="18" hidden="false" customHeight="true" outlineLevel="0" collapsed="false">
      <c r="A30" s="18" t="n">
        <v>27</v>
      </c>
      <c r="B30" s="61" t="s">
        <v>170</v>
      </c>
      <c r="C30" s="55"/>
      <c r="D30" s="55"/>
      <c r="E30" s="55"/>
      <c r="F30" s="55"/>
      <c r="G30" s="55"/>
      <c r="H30" s="55"/>
      <c r="I30" s="55"/>
      <c r="J30" s="51" t="n">
        <f aca="false">SUM(C30:I30)</f>
        <v>0</v>
      </c>
      <c r="K30" s="31" t="n">
        <f aca="false">IF(B30="Winter",'Practice Allocations'!J11,'Practice Allocations'!G11)</f>
        <v>1361.6768</v>
      </c>
      <c r="L30" s="5" t="str">
        <f aca="false">IF(J30="","",IF(J30&gt;=K30,"GREEN",IF(J30&gt;=K30*0.8,"AMBER","RED")))</f>
        <v>RED</v>
      </c>
    </row>
    <row r="31" customFormat="false" ht="18" hidden="false" customHeight="true" outlineLevel="0" collapsed="false">
      <c r="A31" s="18" t="n">
        <v>28</v>
      </c>
      <c r="B31" s="61" t="s">
        <v>170</v>
      </c>
      <c r="C31" s="55"/>
      <c r="D31" s="55"/>
      <c r="E31" s="55"/>
      <c r="F31" s="55"/>
      <c r="G31" s="55"/>
      <c r="H31" s="55"/>
      <c r="I31" s="55"/>
      <c r="J31" s="51" t="n">
        <f aca="false">SUM(C31:I31)</f>
        <v>0</v>
      </c>
      <c r="K31" s="31" t="n">
        <f aca="false">IF(B31="Winter",'Practice Allocations'!J11,'Practice Allocations'!G11)</f>
        <v>1361.6768</v>
      </c>
      <c r="L31" s="5" t="str">
        <f aca="false">IF(J31="","",IF(J31&gt;=K31,"GREEN",IF(J31&gt;=K31*0.8,"AMBER","RED")))</f>
        <v>RED</v>
      </c>
    </row>
    <row r="32" customFormat="false" ht="18" hidden="false" customHeight="true" outlineLevel="0" collapsed="false">
      <c r="A32" s="18" t="n">
        <v>29</v>
      </c>
      <c r="B32" s="61" t="s">
        <v>170</v>
      </c>
      <c r="C32" s="55"/>
      <c r="D32" s="55"/>
      <c r="E32" s="55"/>
      <c r="F32" s="55"/>
      <c r="G32" s="55"/>
      <c r="H32" s="55"/>
      <c r="I32" s="55"/>
      <c r="J32" s="51" t="n">
        <f aca="false">SUM(C32:I32)</f>
        <v>0</v>
      </c>
      <c r="K32" s="31" t="n">
        <f aca="false">IF(B32="Winter",'Practice Allocations'!J11,'Practice Allocations'!G11)</f>
        <v>1361.6768</v>
      </c>
      <c r="L32" s="5" t="str">
        <f aca="false">IF(J32="","",IF(J32&gt;=K32,"GREEN",IF(J32&gt;=K32*0.8,"AMBER","RED")))</f>
        <v>RED</v>
      </c>
    </row>
    <row r="33" customFormat="false" ht="18" hidden="false" customHeight="true" outlineLevel="0" collapsed="false">
      <c r="A33" s="18" t="n">
        <v>30</v>
      </c>
      <c r="B33" s="61" t="s">
        <v>170</v>
      </c>
      <c r="C33" s="55"/>
      <c r="D33" s="55"/>
      <c r="E33" s="55"/>
      <c r="F33" s="55"/>
      <c r="G33" s="55"/>
      <c r="H33" s="55"/>
      <c r="I33" s="55"/>
      <c r="J33" s="51" t="n">
        <f aca="false">SUM(C33:I33)</f>
        <v>0</v>
      </c>
      <c r="K33" s="31" t="n">
        <f aca="false">IF(B33="Winter",'Practice Allocations'!J11,'Practice Allocations'!G11)</f>
        <v>1361.6768</v>
      </c>
      <c r="L33" s="5" t="str">
        <f aca="false">IF(J33="","",IF(J33&gt;=K33,"GREEN",IF(J33&gt;=K33*0.8,"AMBER","RED")))</f>
        <v>RED</v>
      </c>
    </row>
    <row r="34" customFormat="false" ht="18" hidden="false" customHeight="true" outlineLevel="0" collapsed="false">
      <c r="A34" s="18" t="n">
        <v>31</v>
      </c>
      <c r="B34" s="61" t="s">
        <v>170</v>
      </c>
      <c r="C34" s="55"/>
      <c r="D34" s="55"/>
      <c r="E34" s="55"/>
      <c r="F34" s="55"/>
      <c r="G34" s="55"/>
      <c r="H34" s="55"/>
      <c r="I34" s="55"/>
      <c r="J34" s="51" t="n">
        <f aca="false">SUM(C34:I34)</f>
        <v>0</v>
      </c>
      <c r="K34" s="31" t="n">
        <f aca="false">IF(B34="Winter",'Practice Allocations'!J11,'Practice Allocations'!G11)</f>
        <v>1361.6768</v>
      </c>
      <c r="L34" s="5" t="str">
        <f aca="false">IF(J34="","",IF(J34&gt;=K34,"GREEN",IF(J34&gt;=K34*0.8,"AMBER","RED")))</f>
        <v>RED</v>
      </c>
    </row>
    <row r="35" customFormat="false" ht="18" hidden="false" customHeight="true" outlineLevel="0" collapsed="false">
      <c r="A35" s="18" t="n">
        <v>32</v>
      </c>
      <c r="B35" s="61" t="s">
        <v>170</v>
      </c>
      <c r="C35" s="55"/>
      <c r="D35" s="55"/>
      <c r="E35" s="55"/>
      <c r="F35" s="55"/>
      <c r="G35" s="55"/>
      <c r="H35" s="55"/>
      <c r="I35" s="55"/>
      <c r="J35" s="51" t="n">
        <f aca="false">SUM(C35:I35)</f>
        <v>0</v>
      </c>
      <c r="K35" s="31" t="n">
        <f aca="false">IF(B35="Winter",'Practice Allocations'!J11,'Practice Allocations'!G11)</f>
        <v>1361.6768</v>
      </c>
      <c r="L35" s="5" t="str">
        <f aca="false">IF(J35="","",IF(J35&gt;=K35,"GREEN",IF(J35&gt;=K35*0.8,"AMBER","RED")))</f>
        <v>RED</v>
      </c>
    </row>
    <row r="36" customFormat="false" ht="18" hidden="false" customHeight="true" outlineLevel="0" collapsed="false">
      <c r="A36" s="18" t="n">
        <v>33</v>
      </c>
      <c r="B36" s="61" t="s">
        <v>170</v>
      </c>
      <c r="C36" s="55"/>
      <c r="D36" s="55"/>
      <c r="E36" s="55"/>
      <c r="F36" s="55"/>
      <c r="G36" s="55"/>
      <c r="H36" s="55"/>
      <c r="I36" s="55"/>
      <c r="J36" s="51" t="n">
        <f aca="false">SUM(C36:I36)</f>
        <v>0</v>
      </c>
      <c r="K36" s="31" t="n">
        <f aca="false">IF(B36="Winter",'Practice Allocations'!J11,'Practice Allocations'!G11)</f>
        <v>1361.6768</v>
      </c>
      <c r="L36" s="5" t="str">
        <f aca="false">IF(J36="","",IF(J36&gt;=K36,"GREEN",IF(J36&gt;=K36*0.8,"AMBER","RED")))</f>
        <v>RED</v>
      </c>
    </row>
    <row r="37" customFormat="false" ht="18" hidden="false" customHeight="true" outlineLevel="0" collapsed="false">
      <c r="A37" s="18" t="n">
        <v>34</v>
      </c>
      <c r="B37" s="61" t="s">
        <v>170</v>
      </c>
      <c r="C37" s="55"/>
      <c r="D37" s="55"/>
      <c r="E37" s="55"/>
      <c r="F37" s="55"/>
      <c r="G37" s="55"/>
      <c r="H37" s="55"/>
      <c r="I37" s="55"/>
      <c r="J37" s="51" t="n">
        <f aca="false">SUM(C37:I37)</f>
        <v>0</v>
      </c>
      <c r="K37" s="31" t="n">
        <f aca="false">IF(B37="Winter",'Practice Allocations'!J11,'Practice Allocations'!G11)</f>
        <v>1361.6768</v>
      </c>
      <c r="L37" s="5" t="str">
        <f aca="false">IF(J37="","",IF(J37&gt;=K37,"GREEN",IF(J37&gt;=K37*0.8,"AMBER","RED")))</f>
        <v>RED</v>
      </c>
    </row>
    <row r="38" customFormat="false" ht="18" hidden="false" customHeight="true" outlineLevel="0" collapsed="false">
      <c r="A38" s="18" t="n">
        <v>35</v>
      </c>
      <c r="B38" s="61" t="s">
        <v>170</v>
      </c>
      <c r="C38" s="55"/>
      <c r="D38" s="55"/>
      <c r="E38" s="55"/>
      <c r="F38" s="55"/>
      <c r="G38" s="55"/>
      <c r="H38" s="55"/>
      <c r="I38" s="55"/>
      <c r="J38" s="51" t="n">
        <f aca="false">SUM(C38:I38)</f>
        <v>0</v>
      </c>
      <c r="K38" s="31" t="n">
        <f aca="false">IF(B38="Winter",'Practice Allocations'!J11,'Practice Allocations'!G11)</f>
        <v>1361.6768</v>
      </c>
      <c r="L38" s="5" t="str">
        <f aca="false">IF(J38="","",IF(J38&gt;=K38,"GREEN",IF(J38&gt;=K38*0.8,"AMBER","RED")))</f>
        <v>RED</v>
      </c>
    </row>
    <row r="39" customFormat="false" ht="18" hidden="false" customHeight="true" outlineLevel="0" collapsed="false">
      <c r="A39" s="18" t="n">
        <v>36</v>
      </c>
      <c r="B39" s="61" t="s">
        <v>170</v>
      </c>
      <c r="C39" s="55"/>
      <c r="D39" s="55"/>
      <c r="E39" s="55"/>
      <c r="F39" s="55"/>
      <c r="G39" s="55"/>
      <c r="H39" s="55"/>
      <c r="I39" s="55"/>
      <c r="J39" s="51" t="n">
        <f aca="false">SUM(C39:I39)</f>
        <v>0</v>
      </c>
      <c r="K39" s="31" t="n">
        <f aca="false">IF(B39="Winter",'Practice Allocations'!J11,'Practice Allocations'!G11)</f>
        <v>1361.6768</v>
      </c>
      <c r="L39" s="5" t="str">
        <f aca="false">IF(J39="","",IF(J39&gt;=K39,"GREEN",IF(J39&gt;=K39*0.8,"AMBER","RED")))</f>
        <v>RED</v>
      </c>
    </row>
    <row r="40" customFormat="false" ht="18" hidden="false" customHeight="true" outlineLevel="0" collapsed="false">
      <c r="A40" s="18" t="n">
        <v>37</v>
      </c>
      <c r="B40" s="61" t="s">
        <v>170</v>
      </c>
      <c r="C40" s="55"/>
      <c r="D40" s="55"/>
      <c r="E40" s="55"/>
      <c r="F40" s="55"/>
      <c r="G40" s="55"/>
      <c r="H40" s="55"/>
      <c r="I40" s="55"/>
      <c r="J40" s="51" t="n">
        <f aca="false">SUM(C40:I40)</f>
        <v>0</v>
      </c>
      <c r="K40" s="31" t="n">
        <f aca="false">IF(B40="Winter",'Practice Allocations'!J11,'Practice Allocations'!G11)</f>
        <v>1361.6768</v>
      </c>
      <c r="L40" s="5" t="str">
        <f aca="false">IF(J40="","",IF(J40&gt;=K40,"GREEN",IF(J40&gt;=K40*0.8,"AMBER","RED")))</f>
        <v>RED</v>
      </c>
    </row>
    <row r="41" customFormat="false" ht="18" hidden="false" customHeight="true" outlineLevel="0" collapsed="false">
      <c r="A41" s="18" t="n">
        <v>38</v>
      </c>
      <c r="B41" s="61" t="s">
        <v>170</v>
      </c>
      <c r="C41" s="55"/>
      <c r="D41" s="55"/>
      <c r="E41" s="55"/>
      <c r="F41" s="55"/>
      <c r="G41" s="55"/>
      <c r="H41" s="55"/>
      <c r="I41" s="55"/>
      <c r="J41" s="51" t="n">
        <f aca="false">SUM(C41:I41)</f>
        <v>0</v>
      </c>
      <c r="K41" s="31" t="n">
        <f aca="false">IF(B41="Winter",'Practice Allocations'!J11,'Practice Allocations'!G11)</f>
        <v>1361.6768</v>
      </c>
      <c r="L41" s="5" t="str">
        <f aca="false">IF(J41="","",IF(J41&gt;=K41,"GREEN",IF(J41&gt;=K41*0.8,"AMBER","RED")))</f>
        <v>RED</v>
      </c>
    </row>
    <row r="42" customFormat="false" ht="18" hidden="false" customHeight="true" outlineLevel="0" collapsed="false">
      <c r="A42" s="18" t="n">
        <v>39</v>
      </c>
      <c r="B42" s="61" t="s">
        <v>170</v>
      </c>
      <c r="C42" s="55"/>
      <c r="D42" s="55"/>
      <c r="E42" s="55"/>
      <c r="F42" s="55"/>
      <c r="G42" s="55"/>
      <c r="H42" s="55"/>
      <c r="I42" s="55"/>
      <c r="J42" s="51" t="n">
        <f aca="false">SUM(C42:I42)</f>
        <v>0</v>
      </c>
      <c r="K42" s="31" t="n">
        <f aca="false">IF(B42="Winter",'Practice Allocations'!J11,'Practice Allocations'!G11)</f>
        <v>1361.6768</v>
      </c>
      <c r="L42" s="5" t="str">
        <f aca="false">IF(J42="","",IF(J42&gt;=K42,"GREEN",IF(J42&gt;=K42*0.8,"AMBER","RED")))</f>
        <v>RED</v>
      </c>
    </row>
    <row r="43" customFormat="false" ht="18" hidden="false" customHeight="true" outlineLevel="0" collapsed="false">
      <c r="A43" s="18" t="n">
        <v>40</v>
      </c>
      <c r="B43" s="61" t="s">
        <v>170</v>
      </c>
      <c r="C43" s="55"/>
      <c r="D43" s="55"/>
      <c r="E43" s="55"/>
      <c r="F43" s="55"/>
      <c r="G43" s="55"/>
      <c r="H43" s="55"/>
      <c r="I43" s="55"/>
      <c r="J43" s="51" t="n">
        <f aca="false">SUM(C43:I43)</f>
        <v>0</v>
      </c>
      <c r="K43" s="31" t="n">
        <f aca="false">IF(B43="Winter",'Practice Allocations'!J11,'Practice Allocations'!G11)</f>
        <v>1361.6768</v>
      </c>
      <c r="L43" s="5" t="str">
        <f aca="false">IF(J43="","",IF(J43&gt;=K43,"GREEN",IF(J43&gt;=K43*0.8,"AMBER","RED")))</f>
        <v>RED</v>
      </c>
    </row>
    <row r="44" customFormat="false" ht="18" hidden="false" customHeight="true" outlineLevel="0" collapsed="false">
      <c r="A44" s="18" t="n">
        <v>41</v>
      </c>
      <c r="B44" s="61" t="s">
        <v>170</v>
      </c>
      <c r="C44" s="55"/>
      <c r="D44" s="55"/>
      <c r="E44" s="55"/>
      <c r="F44" s="55"/>
      <c r="G44" s="55"/>
      <c r="H44" s="55"/>
      <c r="I44" s="55"/>
      <c r="J44" s="51" t="n">
        <f aca="false">SUM(C44:I44)</f>
        <v>0</v>
      </c>
      <c r="K44" s="31" t="n">
        <f aca="false">IF(B44="Winter",'Practice Allocations'!J11,'Practice Allocations'!G11)</f>
        <v>1361.6768</v>
      </c>
      <c r="L44" s="5" t="str">
        <f aca="false">IF(J44="","",IF(J44&gt;=K44,"GREEN",IF(J44&gt;=K44*0.8,"AMBER","RED")))</f>
        <v>RED</v>
      </c>
    </row>
    <row r="45" customFormat="false" ht="18" hidden="false" customHeight="true" outlineLevel="0" collapsed="false">
      <c r="A45" s="18" t="n">
        <v>42</v>
      </c>
      <c r="B45" s="61" t="s">
        <v>170</v>
      </c>
      <c r="C45" s="55"/>
      <c r="D45" s="55"/>
      <c r="E45" s="55"/>
      <c r="F45" s="55"/>
      <c r="G45" s="55"/>
      <c r="H45" s="55"/>
      <c r="I45" s="55"/>
      <c r="J45" s="51" t="n">
        <f aca="false">SUM(C45:I45)</f>
        <v>0</v>
      </c>
      <c r="K45" s="31" t="n">
        <f aca="false">IF(B45="Winter",'Practice Allocations'!J11,'Practice Allocations'!G11)</f>
        <v>1361.6768</v>
      </c>
      <c r="L45" s="5" t="str">
        <f aca="false">IF(J45="","",IF(J45&gt;=K45,"GREEN",IF(J45&gt;=K45*0.8,"AMBER","RED")))</f>
        <v>RED</v>
      </c>
    </row>
    <row r="46" customFormat="false" ht="18" hidden="false" customHeight="true" outlineLevel="0" collapsed="false">
      <c r="A46" s="18" t="n">
        <v>43</v>
      </c>
      <c r="B46" s="61" t="s">
        <v>170</v>
      </c>
      <c r="C46" s="55"/>
      <c r="D46" s="55"/>
      <c r="E46" s="55"/>
      <c r="F46" s="55"/>
      <c r="G46" s="55"/>
      <c r="H46" s="55"/>
      <c r="I46" s="55"/>
      <c r="J46" s="51" t="n">
        <f aca="false">SUM(C46:I46)</f>
        <v>0</v>
      </c>
      <c r="K46" s="31" t="n">
        <f aca="false">IF(B46="Winter",'Practice Allocations'!J11,'Practice Allocations'!G11)</f>
        <v>1361.6768</v>
      </c>
      <c r="L46" s="5" t="str">
        <f aca="false">IF(J46="","",IF(J46&gt;=K46,"GREEN",IF(J46&gt;=K46*0.8,"AMBER","RED")))</f>
        <v>RED</v>
      </c>
    </row>
    <row r="47" customFormat="false" ht="18" hidden="false" customHeight="true" outlineLevel="0" collapsed="false">
      <c r="A47" s="18" t="n">
        <v>44</v>
      </c>
      <c r="B47" s="58" t="s">
        <v>278</v>
      </c>
      <c r="C47" s="55"/>
      <c r="D47" s="55"/>
      <c r="E47" s="55"/>
      <c r="F47" s="55"/>
      <c r="G47" s="55"/>
      <c r="H47" s="55"/>
      <c r="I47" s="55"/>
      <c r="J47" s="51" t="n">
        <f aca="false">SUM(C47:I47)</f>
        <v>0</v>
      </c>
      <c r="K47" s="31" t="n">
        <f aca="false">IF(B47="Winter",'Practice Allocations'!J11,'Practice Allocations'!G11)</f>
        <v>1630.4288</v>
      </c>
      <c r="L47" s="5" t="str">
        <f aca="false">IF(J47="","",IF(J47&gt;=K47,"GREEN",IF(J47&gt;=K47*0.8,"AMBER","RED")))</f>
        <v>RED</v>
      </c>
    </row>
    <row r="48" customFormat="false" ht="18" hidden="false" customHeight="true" outlineLevel="0" collapsed="false">
      <c r="A48" s="18" t="n">
        <v>45</v>
      </c>
      <c r="B48" s="58" t="s">
        <v>278</v>
      </c>
      <c r="C48" s="55"/>
      <c r="D48" s="55"/>
      <c r="E48" s="55"/>
      <c r="F48" s="55"/>
      <c r="G48" s="55"/>
      <c r="H48" s="55"/>
      <c r="I48" s="55"/>
      <c r="J48" s="51" t="n">
        <f aca="false">SUM(C48:I48)</f>
        <v>0</v>
      </c>
      <c r="K48" s="31" t="n">
        <f aca="false">IF(B48="Winter",'Practice Allocations'!J11,'Practice Allocations'!G11)</f>
        <v>1630.4288</v>
      </c>
      <c r="L48" s="5" t="str">
        <f aca="false">IF(J48="","",IF(J48&gt;=K48,"GREEN",IF(J48&gt;=K48*0.8,"AMBER","RED")))</f>
        <v>RED</v>
      </c>
    </row>
    <row r="49" customFormat="false" ht="18" hidden="false" customHeight="true" outlineLevel="0" collapsed="false">
      <c r="A49" s="18" t="n">
        <v>46</v>
      </c>
      <c r="B49" s="58" t="s">
        <v>278</v>
      </c>
      <c r="C49" s="55"/>
      <c r="D49" s="55"/>
      <c r="E49" s="55"/>
      <c r="F49" s="55"/>
      <c r="G49" s="55"/>
      <c r="H49" s="55"/>
      <c r="I49" s="55"/>
      <c r="J49" s="51" t="n">
        <f aca="false">SUM(C49:I49)</f>
        <v>0</v>
      </c>
      <c r="K49" s="31" t="n">
        <f aca="false">IF(B49="Winter",'Practice Allocations'!J11,'Practice Allocations'!G11)</f>
        <v>1630.4288</v>
      </c>
      <c r="L49" s="5" t="str">
        <f aca="false">IF(J49="","",IF(J49&gt;=K49,"GREEN",IF(J49&gt;=K49*0.8,"AMBER","RED")))</f>
        <v>RED</v>
      </c>
    </row>
    <row r="50" customFormat="false" ht="18" hidden="false" customHeight="true" outlineLevel="0" collapsed="false">
      <c r="A50" s="18" t="n">
        <v>47</v>
      </c>
      <c r="B50" s="58" t="s">
        <v>278</v>
      </c>
      <c r="C50" s="55"/>
      <c r="D50" s="55"/>
      <c r="E50" s="55"/>
      <c r="F50" s="55"/>
      <c r="G50" s="55"/>
      <c r="H50" s="55"/>
      <c r="I50" s="55"/>
      <c r="J50" s="51" t="n">
        <f aca="false">SUM(C50:I50)</f>
        <v>0</v>
      </c>
      <c r="K50" s="31" t="n">
        <f aca="false">IF(B50="Winter",'Practice Allocations'!J11,'Practice Allocations'!G11)</f>
        <v>1630.4288</v>
      </c>
      <c r="L50" s="5" t="str">
        <f aca="false">IF(J50="","",IF(J50&gt;=K50,"GREEN",IF(J50&gt;=K50*0.8,"AMBER","RED")))</f>
        <v>RED</v>
      </c>
    </row>
    <row r="51" customFormat="false" ht="18" hidden="false" customHeight="true" outlineLevel="0" collapsed="false">
      <c r="A51" s="18" t="n">
        <v>48</v>
      </c>
      <c r="B51" s="58" t="s">
        <v>278</v>
      </c>
      <c r="C51" s="55"/>
      <c r="D51" s="55"/>
      <c r="E51" s="55"/>
      <c r="F51" s="55"/>
      <c r="G51" s="55"/>
      <c r="H51" s="55"/>
      <c r="I51" s="55"/>
      <c r="J51" s="51" t="n">
        <f aca="false">SUM(C51:I51)</f>
        <v>0</v>
      </c>
      <c r="K51" s="31" t="n">
        <f aca="false">IF(B51="Winter",'Practice Allocations'!J11,'Practice Allocations'!G11)</f>
        <v>1630.4288</v>
      </c>
      <c r="L51" s="5" t="str">
        <f aca="false">IF(J51="","",IF(J51&gt;=K51,"GREEN",IF(J51&gt;=K51*0.8,"AMBER","RED")))</f>
        <v>RED</v>
      </c>
    </row>
    <row r="52" customFormat="false" ht="18" hidden="false" customHeight="true" outlineLevel="0" collapsed="false">
      <c r="A52" s="18" t="n">
        <v>49</v>
      </c>
      <c r="B52" s="58" t="s">
        <v>278</v>
      </c>
      <c r="C52" s="55"/>
      <c r="D52" s="55"/>
      <c r="E52" s="55"/>
      <c r="F52" s="55"/>
      <c r="G52" s="55"/>
      <c r="H52" s="55"/>
      <c r="I52" s="55"/>
      <c r="J52" s="51" t="n">
        <f aca="false">SUM(C52:I52)</f>
        <v>0</v>
      </c>
      <c r="K52" s="31" t="n">
        <f aca="false">IF(B52="Winter",'Practice Allocations'!J11,'Practice Allocations'!G11)</f>
        <v>1630.4288</v>
      </c>
      <c r="L52" s="5" t="str">
        <f aca="false">IF(J52="","",IF(J52&gt;=K52,"GREEN",IF(J52&gt;=K52*0.8,"AMBER","RED")))</f>
        <v>RED</v>
      </c>
    </row>
    <row r="53" customFormat="false" ht="18" hidden="false" customHeight="true" outlineLevel="0" collapsed="false">
      <c r="A53" s="18" t="n">
        <v>50</v>
      </c>
      <c r="B53" s="58" t="s">
        <v>278</v>
      </c>
      <c r="C53" s="55"/>
      <c r="D53" s="55"/>
      <c r="E53" s="55"/>
      <c r="F53" s="55"/>
      <c r="G53" s="55"/>
      <c r="H53" s="55"/>
      <c r="I53" s="55"/>
      <c r="J53" s="51" t="n">
        <f aca="false">SUM(C53:I53)</f>
        <v>0</v>
      </c>
      <c r="K53" s="31" t="n">
        <f aca="false">IF(B53="Winter",'Practice Allocations'!J11,'Practice Allocations'!G11)</f>
        <v>1630.4288</v>
      </c>
      <c r="L53" s="5" t="str">
        <f aca="false">IF(J53="","",IF(J53&gt;=K53,"GREEN",IF(J53&gt;=K53*0.8,"AMBER","RED")))</f>
        <v>RED</v>
      </c>
    </row>
    <row r="54" customFormat="false" ht="18" hidden="false" customHeight="true" outlineLevel="0" collapsed="false">
      <c r="A54" s="18" t="n">
        <v>51</v>
      </c>
      <c r="B54" s="58" t="s">
        <v>278</v>
      </c>
      <c r="C54" s="55"/>
      <c r="D54" s="55"/>
      <c r="E54" s="55"/>
      <c r="F54" s="55"/>
      <c r="G54" s="55"/>
      <c r="H54" s="55"/>
      <c r="I54" s="55"/>
      <c r="J54" s="51" t="n">
        <f aca="false">SUM(C54:I54)</f>
        <v>0</v>
      </c>
      <c r="K54" s="31" t="n">
        <f aca="false">IF(B54="Winter",'Practice Allocations'!J11,'Practice Allocations'!G11)</f>
        <v>1630.4288</v>
      </c>
      <c r="L54" s="5" t="str">
        <f aca="false">IF(J54="","",IF(J54&gt;=K54,"GREEN",IF(J54&gt;=K54*0.8,"AMBER","RED")))</f>
        <v>RED</v>
      </c>
    </row>
    <row r="55" customFormat="false" ht="18" hidden="false" customHeight="true" outlineLevel="0" collapsed="false">
      <c r="A55" s="18" t="n">
        <v>52</v>
      </c>
      <c r="B55" s="58" t="s">
        <v>278</v>
      </c>
      <c r="C55" s="55"/>
      <c r="D55" s="55"/>
      <c r="E55" s="55"/>
      <c r="F55" s="55"/>
      <c r="G55" s="55"/>
      <c r="H55" s="55"/>
      <c r="I55" s="55"/>
      <c r="J55" s="51" t="n">
        <f aca="false">SUM(C55:I55)</f>
        <v>0</v>
      </c>
      <c r="K55" s="31" t="n">
        <f aca="false">IF(B55="Winter",'Practice Allocations'!J11,'Practice Allocations'!G11)</f>
        <v>1630.4288</v>
      </c>
      <c r="L55" s="5" t="str">
        <f aca="false">IF(J55="","",IF(J55&gt;=K55,"GREEN",IF(J55&gt;=K55*0.8,"AMBER","RED")))</f>
        <v>RED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8"/>
  </cols>
  <sheetData>
    <row r="1" customFormat="false" ht="27.75" hidden="false" customHeight="true" outlineLevel="0" collapsed="false">
      <c r="A1" s="1" t="s">
        <v>279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A3" s="4" t="s">
        <v>174</v>
      </c>
      <c r="B3" s="4" t="s">
        <v>72</v>
      </c>
      <c r="C3" s="4" t="s">
        <v>280</v>
      </c>
      <c r="D3" s="4" t="s">
        <v>281</v>
      </c>
      <c r="E3" s="4" t="s">
        <v>197</v>
      </c>
      <c r="F3" s="4" t="s">
        <v>282</v>
      </c>
      <c r="G3" s="4" t="s">
        <v>199</v>
      </c>
      <c r="H3" s="4" t="s">
        <v>283</v>
      </c>
      <c r="I3" s="4" t="s">
        <v>284</v>
      </c>
      <c r="J3" s="4" t="s">
        <v>285</v>
      </c>
      <c r="K3" s="4" t="s">
        <v>286</v>
      </c>
      <c r="L3" s="4" t="s">
        <v>180</v>
      </c>
    </row>
    <row r="4" customFormat="false" ht="18" hidden="false" customHeight="true" outlineLevel="0" collapsed="false">
      <c r="A4" s="7"/>
      <c r="B4" s="7"/>
      <c r="C4" s="7"/>
      <c r="D4" s="7"/>
      <c r="E4" s="55"/>
      <c r="F4" s="56"/>
      <c r="G4" s="29" t="str">
        <f aca="false">IF(E4="","",E4*F4)</f>
        <v/>
      </c>
      <c r="H4" s="29" t="str">
        <f aca="false">IF(G4="","",G4*Assumptions!B17)</f>
        <v/>
      </c>
      <c r="I4" s="26" t="str">
        <f aca="false">IF(G4="","",G4+H4)</f>
        <v/>
      </c>
      <c r="J4" s="7"/>
      <c r="K4" s="7"/>
      <c r="L4" s="7"/>
    </row>
    <row r="5" customFormat="false" ht="18" hidden="false" customHeight="true" outlineLevel="0" collapsed="false">
      <c r="A5" s="49"/>
      <c r="B5" s="49"/>
      <c r="C5" s="49"/>
      <c r="D5" s="49"/>
      <c r="E5" s="55"/>
      <c r="F5" s="56"/>
      <c r="G5" s="29" t="str">
        <f aca="false">IF(E5="","",E5*F5)</f>
        <v/>
      </c>
      <c r="H5" s="29" t="str">
        <f aca="false">IF(G5="","",G5*Assumptions!B17)</f>
        <v/>
      </c>
      <c r="I5" s="26" t="str">
        <f aca="false">IF(G5="","",G5+H5)</f>
        <v/>
      </c>
      <c r="J5" s="49"/>
      <c r="K5" s="49"/>
      <c r="L5" s="49"/>
    </row>
    <row r="6" customFormat="false" ht="18" hidden="false" customHeight="true" outlineLevel="0" collapsed="false">
      <c r="A6" s="7"/>
      <c r="B6" s="7"/>
      <c r="C6" s="7"/>
      <c r="D6" s="7"/>
      <c r="E6" s="55"/>
      <c r="F6" s="56"/>
      <c r="G6" s="29" t="str">
        <f aca="false">IF(E6="","",E6*F6)</f>
        <v/>
      </c>
      <c r="H6" s="29" t="str">
        <f aca="false">IF(G6="","",G6*Assumptions!B17)</f>
        <v/>
      </c>
      <c r="I6" s="26" t="str">
        <f aca="false">IF(G6="","",G6+H6)</f>
        <v/>
      </c>
      <c r="J6" s="7"/>
      <c r="K6" s="7"/>
      <c r="L6" s="7"/>
    </row>
    <row r="7" customFormat="false" ht="18" hidden="false" customHeight="true" outlineLevel="0" collapsed="false">
      <c r="A7" s="49"/>
      <c r="B7" s="49"/>
      <c r="C7" s="49"/>
      <c r="D7" s="49"/>
      <c r="E7" s="55"/>
      <c r="F7" s="56"/>
      <c r="G7" s="29" t="str">
        <f aca="false">IF(E7="","",E7*F7)</f>
        <v/>
      </c>
      <c r="H7" s="29" t="str">
        <f aca="false">IF(G7="","",G7*Assumptions!B17)</f>
        <v/>
      </c>
      <c r="I7" s="26" t="str">
        <f aca="false">IF(G7="","",G7+H7)</f>
        <v/>
      </c>
      <c r="J7" s="49"/>
      <c r="K7" s="49"/>
      <c r="L7" s="49"/>
    </row>
    <row r="8" customFormat="false" ht="18" hidden="false" customHeight="true" outlineLevel="0" collapsed="false">
      <c r="A8" s="7"/>
      <c r="B8" s="7"/>
      <c r="C8" s="7"/>
      <c r="D8" s="7"/>
      <c r="E8" s="55"/>
      <c r="F8" s="56"/>
      <c r="G8" s="29" t="str">
        <f aca="false">IF(E8="","",E8*F8)</f>
        <v/>
      </c>
      <c r="H8" s="29" t="str">
        <f aca="false">IF(G8="","",G8*Assumptions!B17)</f>
        <v/>
      </c>
      <c r="I8" s="26" t="str">
        <f aca="false">IF(G8="","",G8+H8)</f>
        <v/>
      </c>
      <c r="J8" s="7"/>
      <c r="K8" s="7"/>
      <c r="L8" s="7"/>
    </row>
    <row r="9" customFormat="false" ht="18" hidden="false" customHeight="true" outlineLevel="0" collapsed="false">
      <c r="A9" s="49"/>
      <c r="B9" s="49"/>
      <c r="C9" s="49"/>
      <c r="D9" s="49"/>
      <c r="E9" s="55"/>
      <c r="F9" s="56"/>
      <c r="G9" s="29" t="str">
        <f aca="false">IF(E9="","",E9*F9)</f>
        <v/>
      </c>
      <c r="H9" s="29" t="str">
        <f aca="false">IF(G9="","",G9*Assumptions!B17)</f>
        <v/>
      </c>
      <c r="I9" s="26" t="str">
        <f aca="false">IF(G9="","",G9+H9)</f>
        <v/>
      </c>
      <c r="J9" s="49"/>
      <c r="K9" s="49"/>
      <c r="L9" s="49"/>
    </row>
    <row r="10" customFormat="false" ht="18" hidden="false" customHeight="true" outlineLevel="0" collapsed="false">
      <c r="A10" s="7"/>
      <c r="B10" s="7"/>
      <c r="C10" s="7"/>
      <c r="D10" s="7"/>
      <c r="E10" s="55"/>
      <c r="F10" s="56"/>
      <c r="G10" s="29" t="str">
        <f aca="false">IF(E10="","",E10*F10)</f>
        <v/>
      </c>
      <c r="H10" s="29" t="str">
        <f aca="false">IF(G10="","",G10*Assumptions!B17)</f>
        <v/>
      </c>
      <c r="I10" s="26" t="str">
        <f aca="false">IF(G10="","",G10+H10)</f>
        <v/>
      </c>
      <c r="J10" s="7"/>
      <c r="K10" s="7"/>
      <c r="L10" s="7"/>
    </row>
    <row r="11" customFormat="false" ht="18" hidden="false" customHeight="true" outlineLevel="0" collapsed="false">
      <c r="A11" s="49"/>
      <c r="B11" s="49"/>
      <c r="C11" s="49"/>
      <c r="D11" s="49"/>
      <c r="E11" s="55"/>
      <c r="F11" s="56"/>
      <c r="G11" s="29" t="str">
        <f aca="false">IF(E11="","",E11*F11)</f>
        <v/>
      </c>
      <c r="H11" s="29" t="str">
        <f aca="false">IF(G11="","",G11*Assumptions!B17)</f>
        <v/>
      </c>
      <c r="I11" s="26" t="str">
        <f aca="false">IF(G11="","",G11+H11)</f>
        <v/>
      </c>
      <c r="J11" s="49"/>
      <c r="K11" s="49"/>
      <c r="L11" s="49"/>
    </row>
    <row r="12" customFormat="false" ht="18" hidden="false" customHeight="true" outlineLevel="0" collapsed="false">
      <c r="A12" s="7"/>
      <c r="B12" s="7"/>
      <c r="C12" s="7"/>
      <c r="D12" s="7"/>
      <c r="E12" s="55"/>
      <c r="F12" s="56"/>
      <c r="G12" s="29" t="str">
        <f aca="false">IF(E12="","",E12*F12)</f>
        <v/>
      </c>
      <c r="H12" s="29" t="str">
        <f aca="false">IF(G12="","",G12*Assumptions!B17)</f>
        <v/>
      </c>
      <c r="I12" s="26" t="str">
        <f aca="false">IF(G12="","",G12+H12)</f>
        <v/>
      </c>
      <c r="J12" s="7"/>
      <c r="K12" s="7"/>
      <c r="L12" s="7"/>
    </row>
    <row r="13" customFormat="false" ht="18" hidden="false" customHeight="true" outlineLevel="0" collapsed="false">
      <c r="A13" s="49"/>
      <c r="B13" s="49"/>
      <c r="C13" s="49"/>
      <c r="D13" s="49"/>
      <c r="E13" s="55"/>
      <c r="F13" s="56"/>
      <c r="G13" s="29" t="str">
        <f aca="false">IF(E13="","",E13*F13)</f>
        <v/>
      </c>
      <c r="H13" s="29" t="str">
        <f aca="false">IF(G13="","",G13*Assumptions!B17)</f>
        <v/>
      </c>
      <c r="I13" s="26" t="str">
        <f aca="false">IF(G13="","",G13+H13)</f>
        <v/>
      </c>
      <c r="J13" s="49"/>
      <c r="K13" s="49"/>
      <c r="L13" s="49"/>
    </row>
    <row r="14" customFormat="false" ht="18" hidden="false" customHeight="true" outlineLevel="0" collapsed="false">
      <c r="A14" s="7"/>
      <c r="B14" s="7"/>
      <c r="C14" s="7"/>
      <c r="D14" s="7"/>
      <c r="E14" s="55"/>
      <c r="F14" s="56"/>
      <c r="G14" s="29" t="str">
        <f aca="false">IF(E14="","",E14*F14)</f>
        <v/>
      </c>
      <c r="H14" s="29" t="str">
        <f aca="false">IF(G14="","",G14*Assumptions!B17)</f>
        <v/>
      </c>
      <c r="I14" s="26" t="str">
        <f aca="false">IF(G14="","",G14+H14)</f>
        <v/>
      </c>
      <c r="J14" s="7"/>
      <c r="K14" s="7"/>
      <c r="L14" s="7"/>
    </row>
    <row r="15" customFormat="false" ht="18" hidden="false" customHeight="true" outlineLevel="0" collapsed="false">
      <c r="A15" s="49"/>
      <c r="B15" s="49"/>
      <c r="C15" s="49"/>
      <c r="D15" s="49"/>
      <c r="E15" s="55"/>
      <c r="F15" s="56"/>
      <c r="G15" s="29" t="str">
        <f aca="false">IF(E15="","",E15*F15)</f>
        <v/>
      </c>
      <c r="H15" s="29" t="str">
        <f aca="false">IF(G15="","",G15*Assumptions!B17)</f>
        <v/>
      </c>
      <c r="I15" s="26" t="str">
        <f aca="false">IF(G15="","",G15+H15)</f>
        <v/>
      </c>
      <c r="J15" s="49"/>
      <c r="K15" s="49"/>
      <c r="L15" s="49"/>
    </row>
    <row r="16" customFormat="false" ht="18" hidden="false" customHeight="true" outlineLevel="0" collapsed="false">
      <c r="A16" s="7"/>
      <c r="B16" s="7"/>
      <c r="C16" s="7"/>
      <c r="D16" s="7"/>
      <c r="E16" s="55"/>
      <c r="F16" s="56"/>
      <c r="G16" s="29" t="str">
        <f aca="false">IF(E16="","",E16*F16)</f>
        <v/>
      </c>
      <c r="H16" s="29" t="str">
        <f aca="false">IF(G16="","",G16*Assumptions!B17)</f>
        <v/>
      </c>
      <c r="I16" s="26" t="str">
        <f aca="false">IF(G16="","",G16+H16)</f>
        <v/>
      </c>
      <c r="J16" s="7"/>
      <c r="K16" s="7"/>
      <c r="L16" s="7"/>
    </row>
    <row r="17" customFormat="false" ht="18" hidden="false" customHeight="true" outlineLevel="0" collapsed="false">
      <c r="A17" s="49"/>
      <c r="B17" s="49"/>
      <c r="C17" s="49"/>
      <c r="D17" s="49"/>
      <c r="E17" s="55"/>
      <c r="F17" s="56"/>
      <c r="G17" s="29" t="str">
        <f aca="false">IF(E17="","",E17*F17)</f>
        <v/>
      </c>
      <c r="H17" s="29" t="str">
        <f aca="false">IF(G17="","",G17*Assumptions!B17)</f>
        <v/>
      </c>
      <c r="I17" s="26" t="str">
        <f aca="false">IF(G17="","",G17+H17)</f>
        <v/>
      </c>
      <c r="J17" s="49"/>
      <c r="K17" s="49"/>
      <c r="L17" s="49"/>
    </row>
    <row r="18" customFormat="false" ht="18" hidden="false" customHeight="true" outlineLevel="0" collapsed="false">
      <c r="A18" s="7"/>
      <c r="B18" s="7"/>
      <c r="C18" s="7"/>
      <c r="D18" s="7"/>
      <c r="E18" s="55"/>
      <c r="F18" s="56"/>
      <c r="G18" s="29" t="str">
        <f aca="false">IF(E18="","",E18*F18)</f>
        <v/>
      </c>
      <c r="H18" s="29" t="str">
        <f aca="false">IF(G18="","",G18*Assumptions!B17)</f>
        <v/>
      </c>
      <c r="I18" s="26" t="str">
        <f aca="false">IF(G18="","",G18+H18)</f>
        <v/>
      </c>
      <c r="J18" s="7"/>
      <c r="K18" s="7"/>
      <c r="L18" s="7"/>
    </row>
    <row r="19" customFormat="false" ht="18" hidden="false" customHeight="true" outlineLevel="0" collapsed="false">
      <c r="A19" s="49"/>
      <c r="B19" s="49"/>
      <c r="C19" s="49"/>
      <c r="D19" s="49"/>
      <c r="E19" s="55"/>
      <c r="F19" s="56"/>
      <c r="G19" s="29" t="str">
        <f aca="false">IF(E19="","",E19*F19)</f>
        <v/>
      </c>
      <c r="H19" s="29" t="str">
        <f aca="false">IF(G19="","",G19*Assumptions!B17)</f>
        <v/>
      </c>
      <c r="I19" s="26" t="str">
        <f aca="false">IF(G19="","",G19+H19)</f>
        <v/>
      </c>
      <c r="J19" s="49"/>
      <c r="K19" s="49"/>
      <c r="L19" s="49"/>
    </row>
    <row r="20" customFormat="false" ht="18" hidden="false" customHeight="true" outlineLevel="0" collapsed="false">
      <c r="A20" s="7"/>
      <c r="B20" s="7"/>
      <c r="C20" s="7"/>
      <c r="D20" s="7"/>
      <c r="E20" s="55"/>
      <c r="F20" s="56"/>
      <c r="G20" s="29" t="str">
        <f aca="false">IF(E20="","",E20*F20)</f>
        <v/>
      </c>
      <c r="H20" s="29" t="str">
        <f aca="false">IF(G20="","",G20*Assumptions!B17)</f>
        <v/>
      </c>
      <c r="I20" s="26" t="str">
        <f aca="false">IF(G20="","",G20+H20)</f>
        <v/>
      </c>
      <c r="J20" s="7"/>
      <c r="K20" s="7"/>
      <c r="L20" s="7"/>
    </row>
    <row r="21" customFormat="false" ht="18" hidden="false" customHeight="true" outlineLevel="0" collapsed="false">
      <c r="A21" s="49"/>
      <c r="B21" s="49"/>
      <c r="C21" s="49"/>
      <c r="D21" s="49"/>
      <c r="E21" s="55"/>
      <c r="F21" s="56"/>
      <c r="G21" s="29" t="str">
        <f aca="false">IF(E21="","",E21*F21)</f>
        <v/>
      </c>
      <c r="H21" s="29" t="str">
        <f aca="false">IF(G21="","",G21*Assumptions!B17)</f>
        <v/>
      </c>
      <c r="I21" s="26" t="str">
        <f aca="false">IF(G21="","",G21+H21)</f>
        <v/>
      </c>
      <c r="J21" s="49"/>
      <c r="K21" s="49"/>
      <c r="L21" s="49"/>
    </row>
    <row r="22" customFormat="false" ht="18" hidden="false" customHeight="true" outlineLevel="0" collapsed="false">
      <c r="A22" s="7"/>
      <c r="B22" s="7"/>
      <c r="C22" s="7"/>
      <c r="D22" s="7"/>
      <c r="E22" s="55"/>
      <c r="F22" s="56"/>
      <c r="G22" s="29" t="str">
        <f aca="false">IF(E22="","",E22*F22)</f>
        <v/>
      </c>
      <c r="H22" s="29" t="str">
        <f aca="false">IF(G22="","",G22*Assumptions!B17)</f>
        <v/>
      </c>
      <c r="I22" s="26" t="str">
        <f aca="false">IF(G22="","",G22+H22)</f>
        <v/>
      </c>
      <c r="J22" s="7"/>
      <c r="K22" s="7"/>
      <c r="L22" s="7"/>
    </row>
    <row r="23" customFormat="false" ht="18" hidden="false" customHeight="true" outlineLevel="0" collapsed="false">
      <c r="A23" s="49"/>
      <c r="B23" s="49"/>
      <c r="C23" s="49"/>
      <c r="D23" s="49"/>
      <c r="E23" s="55"/>
      <c r="F23" s="56"/>
      <c r="G23" s="29" t="str">
        <f aca="false">IF(E23="","",E23*F23)</f>
        <v/>
      </c>
      <c r="H23" s="29" t="str">
        <f aca="false">IF(G23="","",G23*Assumptions!B17)</f>
        <v/>
      </c>
      <c r="I23" s="26" t="str">
        <f aca="false">IF(G23="","",G23+H23)</f>
        <v/>
      </c>
      <c r="J23" s="49"/>
      <c r="K23" s="49"/>
      <c r="L23" s="49"/>
    </row>
    <row r="24" customFormat="false" ht="18" hidden="false" customHeight="true" outlineLevel="0" collapsed="false">
      <c r="A24" s="7"/>
      <c r="B24" s="7"/>
      <c r="C24" s="7"/>
      <c r="D24" s="7"/>
      <c r="E24" s="55"/>
      <c r="F24" s="56"/>
      <c r="G24" s="29" t="str">
        <f aca="false">IF(E24="","",E24*F24)</f>
        <v/>
      </c>
      <c r="H24" s="29" t="str">
        <f aca="false">IF(G24="","",G24*Assumptions!B17)</f>
        <v/>
      </c>
      <c r="I24" s="26" t="str">
        <f aca="false">IF(G24="","",G24+H24)</f>
        <v/>
      </c>
      <c r="J24" s="7"/>
      <c r="K24" s="7"/>
      <c r="L24" s="7"/>
    </row>
    <row r="25" customFormat="false" ht="18" hidden="false" customHeight="true" outlineLevel="0" collapsed="false">
      <c r="A25" s="49"/>
      <c r="B25" s="49"/>
      <c r="C25" s="49"/>
      <c r="D25" s="49"/>
      <c r="E25" s="55"/>
      <c r="F25" s="56"/>
      <c r="G25" s="29" t="str">
        <f aca="false">IF(E25="","",E25*F25)</f>
        <v/>
      </c>
      <c r="H25" s="29" t="str">
        <f aca="false">IF(G25="","",G25*Assumptions!B17)</f>
        <v/>
      </c>
      <c r="I25" s="26" t="str">
        <f aca="false">IF(G25="","",G25+H25)</f>
        <v/>
      </c>
      <c r="J25" s="49"/>
      <c r="K25" s="49"/>
      <c r="L25" s="49"/>
    </row>
    <row r="26" customFormat="false" ht="18" hidden="false" customHeight="true" outlineLevel="0" collapsed="false">
      <c r="A26" s="7"/>
      <c r="B26" s="7"/>
      <c r="C26" s="7"/>
      <c r="D26" s="7"/>
      <c r="E26" s="55"/>
      <c r="F26" s="56"/>
      <c r="G26" s="29" t="str">
        <f aca="false">IF(E26="","",E26*F26)</f>
        <v/>
      </c>
      <c r="H26" s="29" t="str">
        <f aca="false">IF(G26="","",G26*Assumptions!B17)</f>
        <v/>
      </c>
      <c r="I26" s="26" t="str">
        <f aca="false">IF(G26="","",G26+H26)</f>
        <v/>
      </c>
      <c r="J26" s="7"/>
      <c r="K26" s="7"/>
      <c r="L26" s="7"/>
    </row>
    <row r="27" customFormat="false" ht="18" hidden="false" customHeight="true" outlineLevel="0" collapsed="false">
      <c r="A27" s="49"/>
      <c r="B27" s="49"/>
      <c r="C27" s="49"/>
      <c r="D27" s="49"/>
      <c r="E27" s="55"/>
      <c r="F27" s="56"/>
      <c r="G27" s="29" t="str">
        <f aca="false">IF(E27="","",E27*F27)</f>
        <v/>
      </c>
      <c r="H27" s="29" t="str">
        <f aca="false">IF(G27="","",G27*Assumptions!B17)</f>
        <v/>
      </c>
      <c r="I27" s="26" t="str">
        <f aca="false">IF(G27="","",G27+H27)</f>
        <v/>
      </c>
      <c r="J27" s="49"/>
      <c r="K27" s="49"/>
      <c r="L27" s="49"/>
    </row>
    <row r="28" customFormat="false" ht="18" hidden="false" customHeight="true" outlineLevel="0" collapsed="false">
      <c r="A28" s="7"/>
      <c r="B28" s="7"/>
      <c r="C28" s="7"/>
      <c r="D28" s="7"/>
      <c r="E28" s="55"/>
      <c r="F28" s="56"/>
      <c r="G28" s="29" t="str">
        <f aca="false">IF(E28="","",E28*F28)</f>
        <v/>
      </c>
      <c r="H28" s="29" t="str">
        <f aca="false">IF(G28="","",G28*Assumptions!B17)</f>
        <v/>
      </c>
      <c r="I28" s="26" t="str">
        <f aca="false">IF(G28="","",G28+H28)</f>
        <v/>
      </c>
      <c r="J28" s="7"/>
      <c r="K28" s="7"/>
      <c r="L28" s="7"/>
    </row>
    <row r="29" customFormat="false" ht="18" hidden="false" customHeight="true" outlineLevel="0" collapsed="false">
      <c r="A29" s="49"/>
      <c r="B29" s="49"/>
      <c r="C29" s="49"/>
      <c r="D29" s="49"/>
      <c r="E29" s="55"/>
      <c r="F29" s="56"/>
      <c r="G29" s="29" t="str">
        <f aca="false">IF(E29="","",E29*F29)</f>
        <v/>
      </c>
      <c r="H29" s="29" t="str">
        <f aca="false">IF(G29="","",G29*Assumptions!B17)</f>
        <v/>
      </c>
      <c r="I29" s="26" t="str">
        <f aca="false">IF(G29="","",G29+H29)</f>
        <v/>
      </c>
      <c r="J29" s="49"/>
      <c r="K29" s="49"/>
      <c r="L29" s="49"/>
    </row>
    <row r="30" customFormat="false" ht="18" hidden="false" customHeight="true" outlineLevel="0" collapsed="false">
      <c r="A30" s="7"/>
      <c r="B30" s="7"/>
      <c r="C30" s="7"/>
      <c r="D30" s="7"/>
      <c r="E30" s="55"/>
      <c r="F30" s="56"/>
      <c r="G30" s="29" t="str">
        <f aca="false">IF(E30="","",E30*F30)</f>
        <v/>
      </c>
      <c r="H30" s="29" t="str">
        <f aca="false">IF(G30="","",G30*Assumptions!B17)</f>
        <v/>
      </c>
      <c r="I30" s="26" t="str">
        <f aca="false">IF(G30="","",G30+H30)</f>
        <v/>
      </c>
      <c r="J30" s="7"/>
      <c r="K30" s="7"/>
      <c r="L30" s="7"/>
    </row>
    <row r="31" customFormat="false" ht="18" hidden="false" customHeight="true" outlineLevel="0" collapsed="false">
      <c r="A31" s="49"/>
      <c r="B31" s="49"/>
      <c r="C31" s="49"/>
      <c r="D31" s="49"/>
      <c r="E31" s="55"/>
      <c r="F31" s="56"/>
      <c r="G31" s="29" t="str">
        <f aca="false">IF(E31="","",E31*F31)</f>
        <v/>
      </c>
      <c r="H31" s="29" t="str">
        <f aca="false">IF(G31="","",G31*Assumptions!B17)</f>
        <v/>
      </c>
      <c r="I31" s="26" t="str">
        <f aca="false">IF(G31="","",G31+H31)</f>
        <v/>
      </c>
      <c r="J31" s="49"/>
      <c r="K31" s="49"/>
      <c r="L31" s="49"/>
    </row>
    <row r="32" customFormat="false" ht="18" hidden="false" customHeight="true" outlineLevel="0" collapsed="false">
      <c r="A32" s="7"/>
      <c r="B32" s="7"/>
      <c r="C32" s="7"/>
      <c r="D32" s="7"/>
      <c r="E32" s="55"/>
      <c r="F32" s="56"/>
      <c r="G32" s="29" t="str">
        <f aca="false">IF(E32="","",E32*F32)</f>
        <v/>
      </c>
      <c r="H32" s="29" t="str">
        <f aca="false">IF(G32="","",G32*Assumptions!B17)</f>
        <v/>
      </c>
      <c r="I32" s="26" t="str">
        <f aca="false">IF(G32="","",G32+H32)</f>
        <v/>
      </c>
      <c r="J32" s="7"/>
      <c r="K32" s="7"/>
      <c r="L32" s="7"/>
    </row>
    <row r="33" customFormat="false" ht="18" hidden="false" customHeight="true" outlineLevel="0" collapsed="false">
      <c r="A33" s="49"/>
      <c r="B33" s="49"/>
      <c r="C33" s="49"/>
      <c r="D33" s="49"/>
      <c r="E33" s="55"/>
      <c r="F33" s="56"/>
      <c r="G33" s="29" t="str">
        <f aca="false">IF(E33="","",E33*F33)</f>
        <v/>
      </c>
      <c r="H33" s="29" t="str">
        <f aca="false">IF(G33="","",G33*Assumptions!B17)</f>
        <v/>
      </c>
      <c r="I33" s="26" t="str">
        <f aca="false">IF(G33="","",G33+H33)</f>
        <v/>
      </c>
      <c r="J33" s="49"/>
      <c r="K33" s="49"/>
      <c r="L33" s="49"/>
    </row>
    <row r="34" customFormat="false" ht="18" hidden="false" customHeight="true" outlineLevel="0" collapsed="false">
      <c r="A34" s="20" t="s">
        <v>287</v>
      </c>
      <c r="B34" s="22"/>
      <c r="C34" s="22"/>
      <c r="D34" s="22"/>
      <c r="E34" s="21" t="n">
        <f aca="false">SUM(E4:E33)</f>
        <v>0</v>
      </c>
      <c r="F34" s="22"/>
      <c r="G34" s="32" t="n">
        <f aca="false">SUM(G4:G33)</f>
        <v>0</v>
      </c>
      <c r="H34" s="32" t="n">
        <f aca="false">SUM(H4:H33)</f>
        <v>0</v>
      </c>
      <c r="I34" s="32" t="n">
        <f aca="false">SUM(I4:I33)</f>
        <v>0</v>
      </c>
      <c r="J34" s="22"/>
      <c r="K34" s="22"/>
      <c r="L34" s="22"/>
    </row>
  </sheetData>
  <mergeCells count="1">
    <mergeCell ref="A1:L1"/>
  </mergeCells>
  <dataValidations count="1">
    <dataValidation allowBlank="true" errorStyle="stop" operator="between" showDropDown="false" showErrorMessage="false" showInputMessage="false" sqref="D4:D33" type="list">
      <formula1>"New SDA,Buy-Back,Existing (Buy-Back Pending)"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8" min="4" style="0" width="14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288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62" t="s">
        <v>289</v>
      </c>
      <c r="B2" s="62"/>
      <c r="C2" s="62"/>
      <c r="D2" s="62"/>
      <c r="E2" s="62"/>
      <c r="F2" s="62"/>
      <c r="G2" s="62"/>
      <c r="H2" s="62"/>
      <c r="I2" s="62"/>
    </row>
    <row r="3" customFormat="false" ht="30" hidden="false" customHeight="true" outlineLevel="0" collapsed="false">
      <c r="A3" s="4" t="s">
        <v>54</v>
      </c>
      <c r="B3" s="4" t="s">
        <v>290</v>
      </c>
      <c r="C3" s="4" t="s">
        <v>291</v>
      </c>
      <c r="D3" s="4" t="s">
        <v>72</v>
      </c>
      <c r="E3" s="4" t="s">
        <v>292</v>
      </c>
      <c r="F3" s="4" t="s">
        <v>293</v>
      </c>
      <c r="G3" s="4" t="s">
        <v>294</v>
      </c>
      <c r="H3" s="4" t="s">
        <v>295</v>
      </c>
      <c r="I3" s="4" t="s">
        <v>180</v>
      </c>
    </row>
    <row r="4" customFormat="false" ht="24" hidden="false" customHeight="true" outlineLevel="0" collapsed="false">
      <c r="A4" s="3" t="s">
        <v>59</v>
      </c>
      <c r="B4" s="3"/>
      <c r="C4" s="3"/>
      <c r="D4" s="3"/>
      <c r="E4" s="3"/>
      <c r="F4" s="3"/>
      <c r="G4" s="3"/>
      <c r="H4" s="3"/>
      <c r="I4" s="3"/>
    </row>
    <row r="5" customFormat="false" ht="18" hidden="false" customHeight="true" outlineLevel="0" collapsed="false">
      <c r="A5" s="49" t="s">
        <v>59</v>
      </c>
      <c r="B5" s="63"/>
      <c r="C5" s="63"/>
      <c r="D5" s="63"/>
      <c r="E5" s="63"/>
      <c r="F5" s="63"/>
      <c r="G5" s="63"/>
      <c r="H5" s="63"/>
      <c r="I5" s="7"/>
    </row>
    <row r="6" customFormat="false" ht="18" hidden="false" customHeight="true" outlineLevel="0" collapsed="false">
      <c r="A6" s="49" t="s">
        <v>59</v>
      </c>
      <c r="B6" s="63"/>
      <c r="C6" s="63"/>
      <c r="D6" s="63"/>
      <c r="E6" s="63"/>
      <c r="F6" s="63"/>
      <c r="G6" s="63"/>
      <c r="H6" s="63"/>
      <c r="I6" s="7"/>
    </row>
    <row r="7" customFormat="false" ht="18" hidden="false" customHeight="true" outlineLevel="0" collapsed="false">
      <c r="A7" s="49" t="s">
        <v>59</v>
      </c>
      <c r="B7" s="63"/>
      <c r="C7" s="63"/>
      <c r="D7" s="63"/>
      <c r="E7" s="63"/>
      <c r="F7" s="63"/>
      <c r="G7" s="63"/>
      <c r="H7" s="63"/>
      <c r="I7" s="7"/>
    </row>
    <row r="8" customFormat="false" ht="18" hidden="false" customHeight="true" outlineLevel="0" collapsed="false">
      <c r="A8" s="49" t="s">
        <v>59</v>
      </c>
      <c r="B8" s="63"/>
      <c r="C8" s="63"/>
      <c r="D8" s="63"/>
      <c r="E8" s="63"/>
      <c r="F8" s="63"/>
      <c r="G8" s="63"/>
      <c r="H8" s="63"/>
      <c r="I8" s="7"/>
    </row>
    <row r="9" customFormat="false" ht="24" hidden="false" customHeight="true" outlineLevel="0" collapsed="false">
      <c r="A9" s="3" t="s">
        <v>62</v>
      </c>
      <c r="B9" s="3"/>
      <c r="C9" s="3"/>
      <c r="D9" s="3"/>
      <c r="E9" s="3"/>
      <c r="F9" s="3"/>
      <c r="G9" s="3"/>
      <c r="H9" s="3"/>
      <c r="I9" s="3"/>
    </row>
    <row r="10" customFormat="false" ht="18" hidden="false" customHeight="true" outlineLevel="0" collapsed="false">
      <c r="A10" s="49" t="s">
        <v>62</v>
      </c>
      <c r="B10" s="63"/>
      <c r="C10" s="63"/>
      <c r="D10" s="63"/>
      <c r="E10" s="63"/>
      <c r="F10" s="63"/>
      <c r="G10" s="63"/>
      <c r="H10" s="63"/>
      <c r="I10" s="7"/>
    </row>
    <row r="11" customFormat="false" ht="18" hidden="false" customHeight="true" outlineLevel="0" collapsed="false">
      <c r="A11" s="49" t="s">
        <v>62</v>
      </c>
      <c r="B11" s="63"/>
      <c r="C11" s="63"/>
      <c r="D11" s="63"/>
      <c r="E11" s="63"/>
      <c r="F11" s="63"/>
      <c r="G11" s="63"/>
      <c r="H11" s="63"/>
      <c r="I11" s="7"/>
    </row>
    <row r="12" customFormat="false" ht="18" hidden="false" customHeight="true" outlineLevel="0" collapsed="false">
      <c r="A12" s="49" t="s">
        <v>62</v>
      </c>
      <c r="B12" s="63"/>
      <c r="C12" s="63"/>
      <c r="D12" s="63"/>
      <c r="E12" s="63"/>
      <c r="F12" s="63"/>
      <c r="G12" s="63"/>
      <c r="H12" s="63"/>
      <c r="I12" s="7"/>
    </row>
    <row r="13" customFormat="false" ht="18" hidden="false" customHeight="true" outlineLevel="0" collapsed="false">
      <c r="A13" s="49" t="s">
        <v>62</v>
      </c>
      <c r="B13" s="63"/>
      <c r="C13" s="63"/>
      <c r="D13" s="63"/>
      <c r="E13" s="63"/>
      <c r="F13" s="63"/>
      <c r="G13" s="63"/>
      <c r="H13" s="63"/>
      <c r="I13" s="7"/>
    </row>
    <row r="14" customFormat="false" ht="24" hidden="false" customHeight="true" outlineLevel="0" collapsed="false">
      <c r="A14" s="3" t="s">
        <v>63</v>
      </c>
      <c r="B14" s="3"/>
      <c r="C14" s="3"/>
      <c r="D14" s="3"/>
      <c r="E14" s="3"/>
      <c r="F14" s="3"/>
      <c r="G14" s="3"/>
      <c r="H14" s="3"/>
      <c r="I14" s="3"/>
    </row>
    <row r="15" customFormat="false" ht="18" hidden="false" customHeight="true" outlineLevel="0" collapsed="false">
      <c r="A15" s="49" t="s">
        <v>63</v>
      </c>
      <c r="B15" s="63"/>
      <c r="C15" s="63"/>
      <c r="D15" s="63"/>
      <c r="E15" s="63"/>
      <c r="F15" s="63"/>
      <c r="G15" s="63"/>
      <c r="H15" s="63"/>
      <c r="I15" s="7"/>
    </row>
    <row r="16" customFormat="false" ht="18" hidden="false" customHeight="true" outlineLevel="0" collapsed="false">
      <c r="A16" s="49" t="s">
        <v>63</v>
      </c>
      <c r="B16" s="63"/>
      <c r="C16" s="63"/>
      <c r="D16" s="63"/>
      <c r="E16" s="63"/>
      <c r="F16" s="63"/>
      <c r="G16" s="63"/>
      <c r="H16" s="63"/>
      <c r="I16" s="7"/>
    </row>
    <row r="17" customFormat="false" ht="18" hidden="false" customHeight="true" outlineLevel="0" collapsed="false">
      <c r="A17" s="49" t="s">
        <v>63</v>
      </c>
      <c r="B17" s="63"/>
      <c r="C17" s="63"/>
      <c r="D17" s="63"/>
      <c r="E17" s="63"/>
      <c r="F17" s="63"/>
      <c r="G17" s="63"/>
      <c r="H17" s="63"/>
      <c r="I17" s="7"/>
    </row>
    <row r="18" customFormat="false" ht="18" hidden="false" customHeight="true" outlineLevel="0" collapsed="false">
      <c r="A18" s="49" t="s">
        <v>63</v>
      </c>
      <c r="B18" s="63"/>
      <c r="C18" s="63"/>
      <c r="D18" s="63"/>
      <c r="E18" s="63"/>
      <c r="F18" s="63"/>
      <c r="G18" s="63"/>
      <c r="H18" s="63"/>
      <c r="I18" s="7"/>
    </row>
    <row r="19" customFormat="false" ht="24" hidden="false" customHeight="true" outlineLevel="0" collapsed="false">
      <c r="A19" s="3" t="s">
        <v>66</v>
      </c>
      <c r="B19" s="3"/>
      <c r="C19" s="3"/>
      <c r="D19" s="3"/>
      <c r="E19" s="3"/>
      <c r="F19" s="3"/>
      <c r="G19" s="3"/>
      <c r="H19" s="3"/>
      <c r="I19" s="3"/>
    </row>
    <row r="20" customFormat="false" ht="18" hidden="false" customHeight="true" outlineLevel="0" collapsed="false">
      <c r="A20" s="49" t="s">
        <v>66</v>
      </c>
      <c r="B20" s="63"/>
      <c r="C20" s="63"/>
      <c r="D20" s="63"/>
      <c r="E20" s="63"/>
      <c r="F20" s="63"/>
      <c r="G20" s="63"/>
      <c r="H20" s="63"/>
      <c r="I20" s="7"/>
    </row>
    <row r="21" customFormat="false" ht="18" hidden="false" customHeight="true" outlineLevel="0" collapsed="false">
      <c r="A21" s="49" t="s">
        <v>66</v>
      </c>
      <c r="B21" s="63"/>
      <c r="C21" s="63"/>
      <c r="D21" s="63"/>
      <c r="E21" s="63"/>
      <c r="F21" s="63"/>
      <c r="G21" s="63"/>
      <c r="H21" s="63"/>
      <c r="I21" s="7"/>
    </row>
    <row r="22" customFormat="false" ht="18" hidden="false" customHeight="true" outlineLevel="0" collapsed="false">
      <c r="A22" s="49" t="s">
        <v>66</v>
      </c>
      <c r="B22" s="63"/>
      <c r="C22" s="63"/>
      <c r="D22" s="63"/>
      <c r="E22" s="63"/>
      <c r="F22" s="63"/>
      <c r="G22" s="63"/>
      <c r="H22" s="63"/>
      <c r="I22" s="7"/>
    </row>
    <row r="23" customFormat="false" ht="18" hidden="false" customHeight="true" outlineLevel="0" collapsed="false">
      <c r="A23" s="49" t="s">
        <v>66</v>
      </c>
      <c r="B23" s="63"/>
      <c r="C23" s="63"/>
      <c r="D23" s="63"/>
      <c r="E23" s="63"/>
      <c r="F23" s="63"/>
      <c r="G23" s="63"/>
      <c r="H23" s="63"/>
      <c r="I23" s="7"/>
    </row>
    <row r="24" customFormat="false" ht="24" hidden="false" customHeight="true" outlineLevel="0" collapsed="false">
      <c r="A24" s="3" t="s">
        <v>67</v>
      </c>
      <c r="B24" s="3"/>
      <c r="C24" s="3"/>
      <c r="D24" s="3"/>
      <c r="E24" s="3"/>
      <c r="F24" s="3"/>
      <c r="G24" s="3"/>
      <c r="H24" s="3"/>
      <c r="I24" s="3"/>
    </row>
    <row r="25" customFormat="false" ht="18" hidden="false" customHeight="true" outlineLevel="0" collapsed="false">
      <c r="A25" s="49" t="s">
        <v>67</v>
      </c>
      <c r="B25" s="63"/>
      <c r="C25" s="63"/>
      <c r="D25" s="63"/>
      <c r="E25" s="63"/>
      <c r="F25" s="63"/>
      <c r="G25" s="63"/>
      <c r="H25" s="63"/>
      <c r="I25" s="7"/>
    </row>
    <row r="26" customFormat="false" ht="18" hidden="false" customHeight="true" outlineLevel="0" collapsed="false">
      <c r="A26" s="49" t="s">
        <v>67</v>
      </c>
      <c r="B26" s="63"/>
      <c r="C26" s="63"/>
      <c r="D26" s="63"/>
      <c r="E26" s="63"/>
      <c r="F26" s="63"/>
      <c r="G26" s="63"/>
      <c r="H26" s="63"/>
      <c r="I26" s="7"/>
    </row>
    <row r="27" customFormat="false" ht="18" hidden="false" customHeight="true" outlineLevel="0" collapsed="false">
      <c r="A27" s="49" t="s">
        <v>67</v>
      </c>
      <c r="B27" s="63"/>
      <c r="C27" s="63"/>
      <c r="D27" s="63"/>
      <c r="E27" s="63"/>
      <c r="F27" s="63"/>
      <c r="G27" s="63"/>
      <c r="H27" s="63"/>
      <c r="I27" s="7"/>
    </row>
    <row r="28" customFormat="false" ht="18" hidden="false" customHeight="true" outlineLevel="0" collapsed="false">
      <c r="A28" s="49" t="s">
        <v>67</v>
      </c>
      <c r="B28" s="63"/>
      <c r="C28" s="63"/>
      <c r="D28" s="63"/>
      <c r="E28" s="63"/>
      <c r="F28" s="63"/>
      <c r="G28" s="63"/>
      <c r="H28" s="63"/>
      <c r="I28" s="7"/>
    </row>
    <row r="29" customFormat="false" ht="24" hidden="false" customHeight="true" outlineLevel="0" collapsed="false">
      <c r="A29" s="3" t="s">
        <v>68</v>
      </c>
      <c r="B29" s="3"/>
      <c r="C29" s="3"/>
      <c r="D29" s="3"/>
      <c r="E29" s="3"/>
      <c r="F29" s="3"/>
      <c r="G29" s="3"/>
      <c r="H29" s="3"/>
      <c r="I29" s="3"/>
    </row>
    <row r="30" customFormat="false" ht="18" hidden="false" customHeight="true" outlineLevel="0" collapsed="false">
      <c r="A30" s="49" t="s">
        <v>68</v>
      </c>
      <c r="B30" s="63"/>
      <c r="C30" s="63"/>
      <c r="D30" s="63"/>
      <c r="E30" s="63"/>
      <c r="F30" s="63"/>
      <c r="G30" s="63"/>
      <c r="H30" s="63"/>
      <c r="I30" s="7"/>
    </row>
    <row r="31" customFormat="false" ht="18" hidden="false" customHeight="true" outlineLevel="0" collapsed="false">
      <c r="A31" s="49" t="s">
        <v>68</v>
      </c>
      <c r="B31" s="63"/>
      <c r="C31" s="63"/>
      <c r="D31" s="63"/>
      <c r="E31" s="63"/>
      <c r="F31" s="63"/>
      <c r="G31" s="63"/>
      <c r="H31" s="63"/>
      <c r="I31" s="7"/>
    </row>
    <row r="32" customFormat="false" ht="18" hidden="false" customHeight="true" outlineLevel="0" collapsed="false">
      <c r="A32" s="49" t="s">
        <v>68</v>
      </c>
      <c r="B32" s="63"/>
      <c r="C32" s="63"/>
      <c r="D32" s="63"/>
      <c r="E32" s="63"/>
      <c r="F32" s="63"/>
      <c r="G32" s="63"/>
      <c r="H32" s="63"/>
      <c r="I32" s="7"/>
    </row>
    <row r="33" customFormat="false" ht="18" hidden="false" customHeight="true" outlineLevel="0" collapsed="false">
      <c r="A33" s="49" t="s">
        <v>68</v>
      </c>
      <c r="B33" s="63"/>
      <c r="C33" s="63"/>
      <c r="D33" s="63"/>
      <c r="E33" s="63"/>
      <c r="F33" s="63"/>
      <c r="G33" s="63"/>
      <c r="H33" s="63"/>
      <c r="I33" s="7"/>
    </row>
    <row r="34" customFormat="false" ht="24" hidden="false" customHeight="true" outlineLevel="0" collapsed="false">
      <c r="A34" s="3" t="s">
        <v>69</v>
      </c>
      <c r="B34" s="3"/>
      <c r="C34" s="3"/>
      <c r="D34" s="3"/>
      <c r="E34" s="3"/>
      <c r="F34" s="3"/>
      <c r="G34" s="3"/>
      <c r="H34" s="3"/>
      <c r="I34" s="3"/>
    </row>
    <row r="35" customFormat="false" ht="18" hidden="false" customHeight="true" outlineLevel="0" collapsed="false">
      <c r="A35" s="49" t="s">
        <v>69</v>
      </c>
      <c r="B35" s="63"/>
      <c r="C35" s="63"/>
      <c r="D35" s="63"/>
      <c r="E35" s="63"/>
      <c r="F35" s="63"/>
      <c r="G35" s="63"/>
      <c r="H35" s="63"/>
      <c r="I35" s="7"/>
    </row>
    <row r="36" customFormat="false" ht="18" hidden="false" customHeight="true" outlineLevel="0" collapsed="false">
      <c r="A36" s="49" t="s">
        <v>69</v>
      </c>
      <c r="B36" s="63"/>
      <c r="C36" s="63"/>
      <c r="D36" s="63"/>
      <c r="E36" s="63"/>
      <c r="F36" s="63"/>
      <c r="G36" s="63"/>
      <c r="H36" s="63"/>
      <c r="I36" s="7"/>
    </row>
    <row r="37" customFormat="false" ht="18" hidden="false" customHeight="true" outlineLevel="0" collapsed="false">
      <c r="A37" s="49" t="s">
        <v>69</v>
      </c>
      <c r="B37" s="63"/>
      <c r="C37" s="63"/>
      <c r="D37" s="63"/>
      <c r="E37" s="63"/>
      <c r="F37" s="63"/>
      <c r="G37" s="63"/>
      <c r="H37" s="63"/>
      <c r="I37" s="7"/>
    </row>
    <row r="38" customFormat="false" ht="18" hidden="false" customHeight="true" outlineLevel="0" collapsed="false">
      <c r="A38" s="49" t="s">
        <v>69</v>
      </c>
      <c r="B38" s="63"/>
      <c r="C38" s="63"/>
      <c r="D38" s="63"/>
      <c r="E38" s="63"/>
      <c r="F38" s="63"/>
      <c r="G38" s="63"/>
      <c r="H38" s="63"/>
      <c r="I38" s="7"/>
    </row>
    <row r="39" customFormat="false" ht="24" hidden="false" customHeight="true" outlineLevel="0" collapsed="false">
      <c r="A39" s="3" t="s">
        <v>296</v>
      </c>
      <c r="B39" s="3"/>
      <c r="C39" s="3"/>
      <c r="D39" s="3"/>
      <c r="E39" s="3"/>
      <c r="F39" s="3"/>
      <c r="G39" s="3"/>
      <c r="H39" s="3"/>
      <c r="I39" s="3"/>
    </row>
    <row r="40" customFormat="false" ht="18" hidden="false" customHeight="true" outlineLevel="0" collapsed="false">
      <c r="A40" s="49" t="s">
        <v>297</v>
      </c>
      <c r="B40" s="63" t="s">
        <v>298</v>
      </c>
      <c r="C40" s="63"/>
      <c r="D40" s="7" t="s">
        <v>299</v>
      </c>
      <c r="E40" s="63"/>
      <c r="F40" s="63"/>
      <c r="G40" s="63"/>
      <c r="H40" s="63"/>
      <c r="I40" s="7"/>
    </row>
    <row r="41" customFormat="false" ht="18" hidden="false" customHeight="true" outlineLevel="0" collapsed="false">
      <c r="A41" s="49" t="s">
        <v>297</v>
      </c>
      <c r="B41" s="63" t="s">
        <v>300</v>
      </c>
      <c r="C41" s="63"/>
      <c r="D41" s="7" t="s">
        <v>301</v>
      </c>
      <c r="E41" s="63"/>
      <c r="F41" s="63"/>
      <c r="G41" s="63"/>
      <c r="H41" s="63"/>
      <c r="I41" s="7"/>
    </row>
    <row r="42" customFormat="false" ht="18" hidden="false" customHeight="true" outlineLevel="0" collapsed="false">
      <c r="A42" s="49" t="s">
        <v>297</v>
      </c>
      <c r="B42" s="63" t="s">
        <v>302</v>
      </c>
      <c r="C42" s="63"/>
      <c r="D42" s="7" t="s">
        <v>303</v>
      </c>
      <c r="E42" s="63"/>
      <c r="F42" s="63"/>
      <c r="G42" s="63"/>
      <c r="H42" s="63"/>
      <c r="I42" s="7"/>
    </row>
    <row r="43" customFormat="false" ht="18" hidden="false" customHeight="true" outlineLevel="0" collapsed="false">
      <c r="A43" s="49" t="s">
        <v>297</v>
      </c>
      <c r="B43" s="63" t="s">
        <v>304</v>
      </c>
      <c r="C43" s="63"/>
      <c r="D43" s="7" t="s">
        <v>305</v>
      </c>
      <c r="E43" s="63"/>
      <c r="F43" s="63"/>
      <c r="G43" s="63"/>
      <c r="H43" s="63"/>
      <c r="I43" s="7"/>
    </row>
    <row r="44" customFormat="false" ht="18" hidden="false" customHeight="true" outlineLevel="0" collapsed="false">
      <c r="A44" s="49" t="s">
        <v>297</v>
      </c>
      <c r="B44" s="63" t="s">
        <v>306</v>
      </c>
      <c r="C44" s="63"/>
      <c r="D44" s="7"/>
      <c r="E44" s="63"/>
      <c r="F44" s="63"/>
      <c r="G44" s="63"/>
      <c r="H44" s="63"/>
      <c r="I44" s="7"/>
    </row>
    <row r="45" customFormat="false" ht="18" hidden="false" customHeight="true" outlineLevel="0" collapsed="false">
      <c r="A45" s="49" t="s">
        <v>297</v>
      </c>
      <c r="B45" s="63" t="s">
        <v>307</v>
      </c>
      <c r="C45" s="63"/>
      <c r="D45" s="7"/>
      <c r="E45" s="63"/>
      <c r="F45" s="63"/>
      <c r="G45" s="63"/>
      <c r="H45" s="63"/>
      <c r="I45" s="7"/>
    </row>
  </sheetData>
  <mergeCells count="10">
    <mergeCell ref="A1:I1"/>
    <mergeCell ref="A2:I2"/>
    <mergeCell ref="A4:I4"/>
    <mergeCell ref="A9:I9"/>
    <mergeCell ref="A14:I14"/>
    <mergeCell ref="A19:I19"/>
    <mergeCell ref="A24:I24"/>
    <mergeCell ref="A29:I29"/>
    <mergeCell ref="A34:I34"/>
    <mergeCell ref="A39:I39"/>
  </mergeCells>
  <dataValidations count="2">
    <dataValidation allowBlank="true" errorStyle="stop" operator="between" showDropDown="false" showErrorMessage="false" showInputMessage="false" sqref="D5:D8 D10:D13 D15:D18 D20:D23 D25:D28 D30:D33 D35:D38" type="list">
      <formula1>"Practice Manager,GP Partner,Admin,Finance,Board Member,Other"</formula1>
      <formula2>0</formula2>
    </dataValidation>
    <dataValidation allowBlank="true" errorStyle="stop" operator="between" showDropDown="false" showErrorMessage="false" showInputMessage="false" sqref="E5:H8 E10:H13 E15:H18 E20:H23 E25:H28 E30:H33 E35:H3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6"/>
  </cols>
  <sheetData>
    <row r="1" customFormat="false" ht="27.75" hidden="false" customHeight="true" outlineLevel="0" collapsed="false">
      <c r="A1" s="1" t="s">
        <v>308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5" t="s">
        <v>309</v>
      </c>
      <c r="B2" s="11" t="s">
        <v>310</v>
      </c>
      <c r="C2" s="5" t="s">
        <v>311</v>
      </c>
      <c r="D2" s="11" t="s">
        <v>172</v>
      </c>
    </row>
    <row r="4" customFormat="false" ht="24" hidden="false" customHeight="true" outlineLevel="0" collapsed="false">
      <c r="A4" s="3" t="s">
        <v>312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273</v>
      </c>
      <c r="B5" s="4" t="s">
        <v>313</v>
      </c>
      <c r="C5" s="4" t="s">
        <v>314</v>
      </c>
      <c r="D5" s="4" t="s">
        <v>315</v>
      </c>
      <c r="E5" s="4" t="s">
        <v>316</v>
      </c>
      <c r="F5" s="4" t="s">
        <v>317</v>
      </c>
      <c r="G5" s="4" t="s">
        <v>318</v>
      </c>
      <c r="H5" s="4" t="s">
        <v>319</v>
      </c>
    </row>
    <row r="6" customFormat="false" ht="18" hidden="false" customHeight="true" outlineLevel="0" collapsed="false">
      <c r="A6" s="64" t="s">
        <v>320</v>
      </c>
      <c r="B6" s="55"/>
      <c r="C6" s="55"/>
      <c r="D6" s="55"/>
      <c r="E6" s="55"/>
      <c r="F6" s="55"/>
      <c r="G6" s="55"/>
      <c r="H6" s="51" t="n">
        <f aca="false">SUM(B6:G6)</f>
        <v>0</v>
      </c>
    </row>
    <row r="7" customFormat="false" ht="18" hidden="false" customHeight="true" outlineLevel="0" collapsed="false">
      <c r="A7" s="7" t="s">
        <v>321</v>
      </c>
      <c r="B7" s="55"/>
      <c r="C7" s="55"/>
      <c r="D7" s="55"/>
      <c r="E7" s="55"/>
      <c r="F7" s="55"/>
      <c r="G7" s="55"/>
      <c r="H7" s="51" t="n">
        <f aca="false">SUM(B7:G7)</f>
        <v>0</v>
      </c>
    </row>
    <row r="8" customFormat="false" ht="18" hidden="false" customHeight="true" outlineLevel="0" collapsed="false">
      <c r="A8" s="61" t="s">
        <v>322</v>
      </c>
      <c r="B8" s="55"/>
      <c r="C8" s="55"/>
      <c r="D8" s="55"/>
      <c r="E8" s="55"/>
      <c r="F8" s="55"/>
      <c r="G8" s="55"/>
      <c r="H8" s="65" t="n">
        <f aca="false">SUM(B8:G8)</f>
        <v>0</v>
      </c>
    </row>
    <row r="9" customFormat="false" ht="18" hidden="false" customHeight="true" outlineLevel="0" collapsed="false">
      <c r="A9" s="66" t="s">
        <v>323</v>
      </c>
      <c r="B9" s="55"/>
      <c r="C9" s="55"/>
      <c r="D9" s="55"/>
      <c r="E9" s="55"/>
      <c r="F9" s="55"/>
      <c r="G9" s="55"/>
      <c r="H9" s="67" t="n">
        <f aca="false">SUM(B9:G9)</f>
        <v>0</v>
      </c>
    </row>
    <row r="10" customFormat="false" ht="18" hidden="false" customHeight="true" outlineLevel="0" collapsed="false">
      <c r="A10" s="64" t="s">
        <v>324</v>
      </c>
      <c r="B10" s="55"/>
      <c r="C10" s="55"/>
      <c r="D10" s="55"/>
      <c r="E10" s="55"/>
      <c r="F10" s="55"/>
      <c r="G10" s="55"/>
      <c r="H10" s="51" t="n">
        <f aca="false">SUM(B10:G10)</f>
        <v>0</v>
      </c>
    </row>
    <row r="11" customFormat="false" ht="18" hidden="false" customHeight="true" outlineLevel="0" collapsed="false">
      <c r="A11" s="7" t="s">
        <v>321</v>
      </c>
      <c r="B11" s="55"/>
      <c r="C11" s="55"/>
      <c r="D11" s="55"/>
      <c r="E11" s="55"/>
      <c r="F11" s="55"/>
      <c r="G11" s="55"/>
      <c r="H11" s="51" t="n">
        <f aca="false">SUM(B11:G11)</f>
        <v>0</v>
      </c>
    </row>
    <row r="12" customFormat="false" ht="18" hidden="false" customHeight="true" outlineLevel="0" collapsed="false">
      <c r="A12" s="61" t="s">
        <v>322</v>
      </c>
      <c r="B12" s="55"/>
      <c r="C12" s="55"/>
      <c r="D12" s="55"/>
      <c r="E12" s="55"/>
      <c r="F12" s="55"/>
      <c r="G12" s="55"/>
      <c r="H12" s="65" t="n">
        <f aca="false">SUM(B12:G12)</f>
        <v>0</v>
      </c>
    </row>
    <row r="13" customFormat="false" ht="18" hidden="false" customHeight="true" outlineLevel="0" collapsed="false">
      <c r="A13" s="66" t="s">
        <v>323</v>
      </c>
      <c r="B13" s="55"/>
      <c r="C13" s="55"/>
      <c r="D13" s="55"/>
      <c r="E13" s="55"/>
      <c r="F13" s="55"/>
      <c r="G13" s="55"/>
      <c r="H13" s="67" t="n">
        <f aca="false">SUM(B13:G13)</f>
        <v>0</v>
      </c>
    </row>
    <row r="14" customFormat="false" ht="18" hidden="false" customHeight="true" outlineLevel="0" collapsed="false">
      <c r="A14" s="64" t="s">
        <v>325</v>
      </c>
      <c r="B14" s="55"/>
      <c r="C14" s="55"/>
      <c r="D14" s="55"/>
      <c r="E14" s="55"/>
      <c r="F14" s="55"/>
      <c r="G14" s="55"/>
      <c r="H14" s="51" t="n">
        <f aca="false">SUM(B14:G14)</f>
        <v>0</v>
      </c>
    </row>
    <row r="15" customFormat="false" ht="18" hidden="false" customHeight="true" outlineLevel="0" collapsed="false">
      <c r="A15" s="7" t="s">
        <v>321</v>
      </c>
      <c r="B15" s="55"/>
      <c r="C15" s="55"/>
      <c r="D15" s="55"/>
      <c r="E15" s="55"/>
      <c r="F15" s="55"/>
      <c r="G15" s="55"/>
      <c r="H15" s="51" t="n">
        <f aca="false">SUM(B15:G15)</f>
        <v>0</v>
      </c>
    </row>
    <row r="16" customFormat="false" ht="18" hidden="false" customHeight="true" outlineLevel="0" collapsed="false">
      <c r="A16" s="61" t="s">
        <v>322</v>
      </c>
      <c r="B16" s="55"/>
      <c r="C16" s="55"/>
      <c r="D16" s="55"/>
      <c r="E16" s="55"/>
      <c r="F16" s="55"/>
      <c r="G16" s="55"/>
      <c r="H16" s="65" t="n">
        <f aca="false">SUM(B16:G16)</f>
        <v>0</v>
      </c>
    </row>
    <row r="17" customFormat="false" ht="18" hidden="false" customHeight="true" outlineLevel="0" collapsed="false">
      <c r="A17" s="66" t="s">
        <v>323</v>
      </c>
      <c r="B17" s="55"/>
      <c r="C17" s="55"/>
      <c r="D17" s="55"/>
      <c r="E17" s="55"/>
      <c r="F17" s="55"/>
      <c r="G17" s="55"/>
      <c r="H17" s="67" t="n">
        <f aca="false">SUM(B17:G17)</f>
        <v>0</v>
      </c>
    </row>
    <row r="18" customFormat="false" ht="18" hidden="false" customHeight="true" outlineLevel="0" collapsed="false">
      <c r="A18" s="64" t="s">
        <v>326</v>
      </c>
      <c r="B18" s="55"/>
      <c r="C18" s="55"/>
      <c r="D18" s="55"/>
      <c r="E18" s="55"/>
      <c r="F18" s="55"/>
      <c r="G18" s="55"/>
      <c r="H18" s="51" t="n">
        <f aca="false">SUM(B18:G18)</f>
        <v>0</v>
      </c>
    </row>
    <row r="19" customFormat="false" ht="18" hidden="false" customHeight="true" outlineLevel="0" collapsed="false">
      <c r="A19" s="7" t="s">
        <v>321</v>
      </c>
      <c r="B19" s="55"/>
      <c r="C19" s="55"/>
      <c r="D19" s="55"/>
      <c r="E19" s="55"/>
      <c r="F19" s="55"/>
      <c r="G19" s="55"/>
      <c r="H19" s="51" t="n">
        <f aca="false">SUM(B19:G19)</f>
        <v>0</v>
      </c>
    </row>
    <row r="20" customFormat="false" ht="18" hidden="false" customHeight="true" outlineLevel="0" collapsed="false">
      <c r="A20" s="61" t="s">
        <v>322</v>
      </c>
      <c r="B20" s="55"/>
      <c r="C20" s="55"/>
      <c r="D20" s="55"/>
      <c r="E20" s="55"/>
      <c r="F20" s="55"/>
      <c r="G20" s="55"/>
      <c r="H20" s="65" t="n">
        <f aca="false">SUM(B20:G20)</f>
        <v>0</v>
      </c>
    </row>
    <row r="21" customFormat="false" ht="18" hidden="false" customHeight="true" outlineLevel="0" collapsed="false">
      <c r="A21" s="66" t="s">
        <v>323</v>
      </c>
      <c r="B21" s="55"/>
      <c r="C21" s="55"/>
      <c r="D21" s="55"/>
      <c r="E21" s="55"/>
      <c r="F21" s="55"/>
      <c r="G21" s="55"/>
      <c r="H21" s="67" t="n">
        <f aca="false">SUM(B21:G21)</f>
        <v>0</v>
      </c>
    </row>
    <row r="22" customFormat="false" ht="18" hidden="false" customHeight="true" outlineLevel="0" collapsed="false">
      <c r="A22" s="64" t="s">
        <v>327</v>
      </c>
      <c r="B22" s="55"/>
      <c r="C22" s="55"/>
      <c r="D22" s="55"/>
      <c r="E22" s="55"/>
      <c r="F22" s="55"/>
      <c r="G22" s="55"/>
      <c r="H22" s="51" t="n">
        <f aca="false">SUM(B22:G22)</f>
        <v>0</v>
      </c>
    </row>
    <row r="23" customFormat="false" ht="18" hidden="false" customHeight="true" outlineLevel="0" collapsed="false">
      <c r="A23" s="7" t="s">
        <v>321</v>
      </c>
      <c r="B23" s="55"/>
      <c r="C23" s="55"/>
      <c r="D23" s="55"/>
      <c r="E23" s="55"/>
      <c r="F23" s="55"/>
      <c r="G23" s="55"/>
      <c r="H23" s="51" t="n">
        <f aca="false">SUM(B23:G23)</f>
        <v>0</v>
      </c>
    </row>
    <row r="24" customFormat="false" ht="18" hidden="false" customHeight="true" outlineLevel="0" collapsed="false">
      <c r="A24" s="61" t="s">
        <v>322</v>
      </c>
      <c r="B24" s="55"/>
      <c r="C24" s="55"/>
      <c r="D24" s="55"/>
      <c r="E24" s="55"/>
      <c r="F24" s="55"/>
      <c r="G24" s="55"/>
      <c r="H24" s="65" t="n">
        <f aca="false">SUM(B24:G24)</f>
        <v>0</v>
      </c>
    </row>
    <row r="25" customFormat="false" ht="18" hidden="false" customHeight="true" outlineLevel="0" collapsed="false">
      <c r="A25" s="66" t="s">
        <v>323</v>
      </c>
      <c r="B25" s="55"/>
      <c r="C25" s="55"/>
      <c r="D25" s="55"/>
      <c r="E25" s="55"/>
      <c r="F25" s="55"/>
      <c r="G25" s="55"/>
      <c r="H25" s="67" t="n">
        <f aca="false">SUM(B25:G25)</f>
        <v>0</v>
      </c>
    </row>
    <row r="27" customFormat="false" ht="24" hidden="false" customHeight="true" outlineLevel="0" collapsed="false">
      <c r="A27" s="3" t="s">
        <v>328</v>
      </c>
      <c r="B27" s="3"/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5" t="s">
        <v>329</v>
      </c>
      <c r="B28" s="51" t="n">
        <f aca="false">H6+H10+H14+H18+H22</f>
        <v>0</v>
      </c>
    </row>
    <row r="29" customFormat="false" ht="18" hidden="false" customHeight="true" outlineLevel="0" collapsed="false">
      <c r="A29" s="5" t="s">
        <v>330</v>
      </c>
      <c r="B29" s="51" t="n">
        <f aca="false">H7+H11+H15+H19+H23</f>
        <v>0</v>
      </c>
    </row>
    <row r="30" customFormat="false" ht="18" hidden="false" customHeight="true" outlineLevel="0" collapsed="false">
      <c r="A30" s="5" t="s">
        <v>331</v>
      </c>
      <c r="B30" s="65" t="n">
        <f aca="false">H8+H12+H16+H20+H24</f>
        <v>0</v>
      </c>
    </row>
    <row r="31" customFormat="false" ht="18" hidden="false" customHeight="true" outlineLevel="0" collapsed="false">
      <c r="A31" s="5" t="s">
        <v>332</v>
      </c>
      <c r="B31" s="67" t="n">
        <f aca="false">H9+H13+H17+H21+H25</f>
        <v>0</v>
      </c>
    </row>
    <row r="32" customFormat="false" ht="18" hidden="false" customHeight="true" outlineLevel="0" collapsed="false">
      <c r="A32" s="5" t="s">
        <v>333</v>
      </c>
      <c r="B32" s="51" t="n">
        <f aca="false">'Practice Allocations'!G11*4.33</f>
        <v>5896.060544</v>
      </c>
    </row>
    <row r="33" customFormat="false" ht="18" hidden="false" customHeight="true" outlineLevel="0" collapsed="false">
      <c r="A33" s="5" t="s">
        <v>112</v>
      </c>
      <c r="B33" s="51" t="n">
        <f aca="false">B29-B32</f>
        <v>-5896.060544</v>
      </c>
    </row>
  </sheetData>
  <mergeCells count="3">
    <mergeCell ref="A1:H1"/>
    <mergeCell ref="A4:H4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2"/>
    <col collapsed="false" customWidth="true" hidden="false" outlineLevel="0" max="5" min="5" style="0" width="35"/>
    <col collapsed="false" customWidth="true" hidden="false" outlineLevel="0" max="8" min="6" style="0" width="22"/>
  </cols>
  <sheetData>
    <row r="1" customFormat="false" ht="27.75" hidden="false" customHeight="true" outlineLevel="0" collapsed="false">
      <c r="A1" s="1" t="s">
        <v>334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68" t="s">
        <v>335</v>
      </c>
      <c r="B2" s="68"/>
      <c r="C2" s="68"/>
      <c r="D2" s="68"/>
      <c r="E2" s="68"/>
      <c r="F2" s="68"/>
      <c r="G2" s="68"/>
      <c r="H2" s="68"/>
    </row>
    <row r="3" customFormat="false" ht="30" hidden="false" customHeight="true" outlineLevel="0" collapsed="false">
      <c r="A3" s="4" t="s">
        <v>336</v>
      </c>
      <c r="B3" s="4" t="s">
        <v>337</v>
      </c>
      <c r="C3" s="4" t="s">
        <v>72</v>
      </c>
      <c r="D3" s="4" t="s">
        <v>338</v>
      </c>
      <c r="E3" s="4" t="s">
        <v>339</v>
      </c>
      <c r="F3" s="4" t="s">
        <v>340</v>
      </c>
      <c r="G3" s="4" t="s">
        <v>341</v>
      </c>
      <c r="H3" s="4" t="s">
        <v>342</v>
      </c>
    </row>
    <row r="4" customFormat="false" ht="18" hidden="false" customHeight="true" outlineLevel="0" collapsed="false">
      <c r="A4" s="69"/>
      <c r="B4" s="7"/>
      <c r="C4" s="7"/>
      <c r="D4" s="7"/>
      <c r="E4" s="7"/>
      <c r="F4" s="7"/>
      <c r="G4" s="7"/>
      <c r="H4" s="7"/>
    </row>
    <row r="5" customFormat="false" ht="18" hidden="false" customHeight="true" outlineLevel="0" collapsed="false">
      <c r="A5" s="70"/>
      <c r="B5" s="49"/>
      <c r="C5" s="49"/>
      <c r="D5" s="49"/>
      <c r="E5" s="49"/>
      <c r="F5" s="49"/>
      <c r="G5" s="49"/>
      <c r="H5" s="49"/>
    </row>
    <row r="6" customFormat="false" ht="18" hidden="false" customHeight="true" outlineLevel="0" collapsed="false">
      <c r="A6" s="69"/>
      <c r="B6" s="7"/>
      <c r="C6" s="7"/>
      <c r="D6" s="7"/>
      <c r="E6" s="7"/>
      <c r="F6" s="7"/>
      <c r="G6" s="7"/>
      <c r="H6" s="7"/>
    </row>
    <row r="7" customFormat="false" ht="18" hidden="false" customHeight="true" outlineLevel="0" collapsed="false">
      <c r="A7" s="70"/>
      <c r="B7" s="49"/>
      <c r="C7" s="49"/>
      <c r="D7" s="49"/>
      <c r="E7" s="49"/>
      <c r="F7" s="49"/>
      <c r="G7" s="49"/>
      <c r="H7" s="49"/>
    </row>
    <row r="8" customFormat="false" ht="18" hidden="false" customHeight="true" outlineLevel="0" collapsed="false">
      <c r="A8" s="69"/>
      <c r="B8" s="7"/>
      <c r="C8" s="7"/>
      <c r="D8" s="7"/>
      <c r="E8" s="7"/>
      <c r="F8" s="7"/>
      <c r="G8" s="7"/>
      <c r="H8" s="7"/>
    </row>
    <row r="9" customFormat="false" ht="18" hidden="false" customHeight="true" outlineLevel="0" collapsed="false">
      <c r="A9" s="70"/>
      <c r="B9" s="49"/>
      <c r="C9" s="49"/>
      <c r="D9" s="49"/>
      <c r="E9" s="49"/>
      <c r="F9" s="49"/>
      <c r="G9" s="49"/>
      <c r="H9" s="49"/>
    </row>
    <row r="10" customFormat="false" ht="18" hidden="false" customHeight="true" outlineLevel="0" collapsed="false">
      <c r="A10" s="69"/>
      <c r="B10" s="7"/>
      <c r="C10" s="7"/>
      <c r="D10" s="7"/>
      <c r="E10" s="7"/>
      <c r="F10" s="7"/>
      <c r="G10" s="7"/>
      <c r="H10" s="7"/>
    </row>
    <row r="11" customFormat="false" ht="18" hidden="false" customHeight="true" outlineLevel="0" collapsed="false">
      <c r="A11" s="70"/>
      <c r="B11" s="49"/>
      <c r="C11" s="49"/>
      <c r="D11" s="49"/>
      <c r="E11" s="49"/>
      <c r="F11" s="49"/>
      <c r="G11" s="49"/>
      <c r="H11" s="49"/>
    </row>
    <row r="12" customFormat="false" ht="18" hidden="false" customHeight="true" outlineLevel="0" collapsed="false">
      <c r="A12" s="69"/>
      <c r="B12" s="7"/>
      <c r="C12" s="7"/>
      <c r="D12" s="7"/>
      <c r="E12" s="7"/>
      <c r="F12" s="7"/>
      <c r="G12" s="7"/>
      <c r="H12" s="7"/>
    </row>
    <row r="13" customFormat="false" ht="18" hidden="false" customHeight="true" outlineLevel="0" collapsed="false">
      <c r="A13" s="70"/>
      <c r="B13" s="49"/>
      <c r="C13" s="49"/>
      <c r="D13" s="49"/>
      <c r="E13" s="49"/>
      <c r="F13" s="49"/>
      <c r="G13" s="49"/>
      <c r="H13" s="49"/>
    </row>
    <row r="14" customFormat="false" ht="18" hidden="false" customHeight="true" outlineLevel="0" collapsed="false">
      <c r="A14" s="69"/>
      <c r="B14" s="7"/>
      <c r="C14" s="7"/>
      <c r="D14" s="7"/>
      <c r="E14" s="7"/>
      <c r="F14" s="7"/>
      <c r="G14" s="7"/>
      <c r="H14" s="7"/>
    </row>
    <row r="15" customFormat="false" ht="18" hidden="false" customHeight="true" outlineLevel="0" collapsed="false">
      <c r="A15" s="70"/>
      <c r="B15" s="49"/>
      <c r="C15" s="49"/>
      <c r="D15" s="49"/>
      <c r="E15" s="49"/>
      <c r="F15" s="49"/>
      <c r="G15" s="49"/>
      <c r="H15" s="49"/>
    </row>
    <row r="16" customFormat="false" ht="18" hidden="false" customHeight="true" outlineLevel="0" collapsed="false">
      <c r="A16" s="69"/>
      <c r="B16" s="7"/>
      <c r="C16" s="7"/>
      <c r="D16" s="7"/>
      <c r="E16" s="7"/>
      <c r="F16" s="7"/>
      <c r="G16" s="7"/>
      <c r="H16" s="7"/>
    </row>
    <row r="17" customFormat="false" ht="18" hidden="false" customHeight="true" outlineLevel="0" collapsed="false">
      <c r="A17" s="70"/>
      <c r="B17" s="49"/>
      <c r="C17" s="49"/>
      <c r="D17" s="49"/>
      <c r="E17" s="49"/>
      <c r="F17" s="49"/>
      <c r="G17" s="49"/>
      <c r="H17" s="49"/>
    </row>
    <row r="18" customFormat="false" ht="18" hidden="false" customHeight="true" outlineLevel="0" collapsed="false">
      <c r="A18" s="69"/>
      <c r="B18" s="7"/>
      <c r="C18" s="7"/>
      <c r="D18" s="7"/>
      <c r="E18" s="7"/>
      <c r="F18" s="7"/>
      <c r="G18" s="7"/>
      <c r="H18" s="7"/>
    </row>
    <row r="19" customFormat="false" ht="18" hidden="false" customHeight="true" outlineLevel="0" collapsed="false">
      <c r="A19" s="70"/>
      <c r="B19" s="49"/>
      <c r="C19" s="49"/>
      <c r="D19" s="49"/>
      <c r="E19" s="49"/>
      <c r="F19" s="49"/>
      <c r="G19" s="49"/>
      <c r="H19" s="49"/>
    </row>
    <row r="20" customFormat="false" ht="18" hidden="false" customHeight="true" outlineLevel="0" collapsed="false">
      <c r="A20" s="69"/>
      <c r="B20" s="7"/>
      <c r="C20" s="7"/>
      <c r="D20" s="7"/>
      <c r="E20" s="7"/>
      <c r="F20" s="7"/>
      <c r="G20" s="7"/>
      <c r="H20" s="7"/>
    </row>
    <row r="21" customFormat="false" ht="18" hidden="false" customHeight="true" outlineLevel="0" collapsed="false">
      <c r="A21" s="70"/>
      <c r="B21" s="49"/>
      <c r="C21" s="49"/>
      <c r="D21" s="49"/>
      <c r="E21" s="49"/>
      <c r="F21" s="49"/>
      <c r="G21" s="49"/>
      <c r="H21" s="49"/>
    </row>
    <row r="22" customFormat="false" ht="18" hidden="false" customHeight="true" outlineLevel="0" collapsed="false">
      <c r="A22" s="69"/>
      <c r="B22" s="7"/>
      <c r="C22" s="7"/>
      <c r="D22" s="7"/>
      <c r="E22" s="7"/>
      <c r="F22" s="7"/>
      <c r="G22" s="7"/>
      <c r="H22" s="7"/>
    </row>
    <row r="23" customFormat="false" ht="18" hidden="false" customHeight="true" outlineLevel="0" collapsed="false">
      <c r="A23" s="70"/>
      <c r="B23" s="49"/>
      <c r="C23" s="49"/>
      <c r="D23" s="49"/>
      <c r="E23" s="49"/>
      <c r="F23" s="49"/>
      <c r="G23" s="49"/>
      <c r="H23" s="49"/>
    </row>
    <row r="24" customFormat="false" ht="18" hidden="false" customHeight="true" outlineLevel="0" collapsed="false">
      <c r="A24" s="69"/>
      <c r="B24" s="7"/>
      <c r="C24" s="7"/>
      <c r="D24" s="7"/>
      <c r="E24" s="7"/>
      <c r="F24" s="7"/>
      <c r="G24" s="7"/>
      <c r="H24" s="7"/>
    </row>
    <row r="25" customFormat="false" ht="18" hidden="false" customHeight="true" outlineLevel="0" collapsed="false">
      <c r="A25" s="70"/>
      <c r="B25" s="49"/>
      <c r="C25" s="49"/>
      <c r="D25" s="49"/>
      <c r="E25" s="49"/>
      <c r="F25" s="49"/>
      <c r="G25" s="49"/>
      <c r="H25" s="49"/>
    </row>
    <row r="26" customFormat="false" ht="18" hidden="false" customHeight="true" outlineLevel="0" collapsed="false">
      <c r="A26" s="69"/>
      <c r="B26" s="7"/>
      <c r="C26" s="7"/>
      <c r="D26" s="7"/>
      <c r="E26" s="7"/>
      <c r="F26" s="7"/>
      <c r="G26" s="7"/>
      <c r="H26" s="7"/>
    </row>
    <row r="27" customFormat="false" ht="18" hidden="false" customHeight="true" outlineLevel="0" collapsed="false">
      <c r="A27" s="70"/>
      <c r="B27" s="49"/>
      <c r="C27" s="49"/>
      <c r="D27" s="49"/>
      <c r="E27" s="49"/>
      <c r="F27" s="49"/>
      <c r="G27" s="49"/>
      <c r="H27" s="49"/>
    </row>
    <row r="28" customFormat="false" ht="18" hidden="false" customHeight="true" outlineLevel="0" collapsed="false">
      <c r="A28" s="69"/>
      <c r="B28" s="7"/>
      <c r="C28" s="7"/>
      <c r="D28" s="7"/>
      <c r="E28" s="7"/>
      <c r="F28" s="7"/>
      <c r="G28" s="7"/>
      <c r="H28" s="7"/>
    </row>
    <row r="29" customFormat="false" ht="18" hidden="false" customHeight="true" outlineLevel="0" collapsed="false">
      <c r="A29" s="70"/>
      <c r="B29" s="49"/>
      <c r="C29" s="49"/>
      <c r="D29" s="49"/>
      <c r="E29" s="49"/>
      <c r="F29" s="49"/>
      <c r="G29" s="49"/>
      <c r="H29" s="49"/>
    </row>
    <row r="30" customFormat="false" ht="18" hidden="false" customHeight="true" outlineLevel="0" collapsed="false">
      <c r="A30" s="69"/>
      <c r="B30" s="7"/>
      <c r="C30" s="7"/>
      <c r="D30" s="7"/>
      <c r="E30" s="7"/>
      <c r="F30" s="7"/>
      <c r="G30" s="7"/>
      <c r="H30" s="7"/>
    </row>
    <row r="31" customFormat="false" ht="18" hidden="false" customHeight="true" outlineLevel="0" collapsed="false">
      <c r="A31" s="70"/>
      <c r="B31" s="49"/>
      <c r="C31" s="49"/>
      <c r="D31" s="49"/>
      <c r="E31" s="49"/>
      <c r="F31" s="49"/>
      <c r="G31" s="49"/>
      <c r="H31" s="49"/>
    </row>
    <row r="32" customFormat="false" ht="18" hidden="false" customHeight="true" outlineLevel="0" collapsed="false">
      <c r="A32" s="69"/>
      <c r="B32" s="7"/>
      <c r="C32" s="7"/>
      <c r="D32" s="7"/>
      <c r="E32" s="7"/>
      <c r="F32" s="7"/>
      <c r="G32" s="7"/>
      <c r="H32" s="7"/>
    </row>
    <row r="33" customFormat="false" ht="18" hidden="false" customHeight="true" outlineLevel="0" collapsed="false">
      <c r="A33" s="70"/>
      <c r="B33" s="49"/>
      <c r="C33" s="49"/>
      <c r="D33" s="49"/>
      <c r="E33" s="49"/>
      <c r="F33" s="49"/>
      <c r="G33" s="49"/>
      <c r="H33" s="49"/>
    </row>
    <row r="34" customFormat="false" ht="18" hidden="false" customHeight="true" outlineLevel="0" collapsed="false">
      <c r="A34" s="69"/>
      <c r="B34" s="7"/>
      <c r="C34" s="7"/>
      <c r="D34" s="7"/>
      <c r="E34" s="7"/>
      <c r="F34" s="7"/>
      <c r="G34" s="7"/>
      <c r="H34" s="7"/>
    </row>
    <row r="35" customFormat="false" ht="18" hidden="false" customHeight="true" outlineLevel="0" collapsed="false">
      <c r="A35" s="70"/>
      <c r="B35" s="49"/>
      <c r="C35" s="49"/>
      <c r="D35" s="49"/>
      <c r="E35" s="49"/>
      <c r="F35" s="49"/>
      <c r="G35" s="49"/>
      <c r="H35" s="49"/>
    </row>
    <row r="36" customFormat="false" ht="18" hidden="false" customHeight="true" outlineLevel="0" collapsed="false">
      <c r="A36" s="69"/>
      <c r="B36" s="7"/>
      <c r="C36" s="7"/>
      <c r="D36" s="7"/>
      <c r="E36" s="7"/>
      <c r="F36" s="7"/>
      <c r="G36" s="7"/>
      <c r="H36" s="7"/>
    </row>
    <row r="37" customFormat="false" ht="18" hidden="false" customHeight="true" outlineLevel="0" collapsed="false">
      <c r="A37" s="70"/>
      <c r="B37" s="49"/>
      <c r="C37" s="49"/>
      <c r="D37" s="49"/>
      <c r="E37" s="49"/>
      <c r="F37" s="49"/>
      <c r="G37" s="49"/>
      <c r="H37" s="49"/>
    </row>
    <row r="38" customFormat="false" ht="18" hidden="false" customHeight="true" outlineLevel="0" collapsed="false">
      <c r="A38" s="69"/>
      <c r="B38" s="7"/>
      <c r="C38" s="7"/>
      <c r="D38" s="7"/>
      <c r="E38" s="7"/>
      <c r="F38" s="7"/>
      <c r="G38" s="7"/>
      <c r="H38" s="7"/>
    </row>
    <row r="39" customFormat="false" ht="18" hidden="false" customHeight="true" outlineLevel="0" collapsed="false">
      <c r="A39" s="70"/>
      <c r="B39" s="49"/>
      <c r="C39" s="49"/>
      <c r="D39" s="49"/>
      <c r="E39" s="49"/>
      <c r="F39" s="49"/>
      <c r="G39" s="49"/>
      <c r="H39" s="49"/>
    </row>
    <row r="40" customFormat="false" ht="18" hidden="false" customHeight="true" outlineLevel="0" collapsed="false">
      <c r="A40" s="69"/>
      <c r="B40" s="7"/>
      <c r="C40" s="7"/>
      <c r="D40" s="7"/>
      <c r="E40" s="7"/>
      <c r="F40" s="7"/>
      <c r="G40" s="7"/>
      <c r="H40" s="7"/>
    </row>
    <row r="41" customFormat="false" ht="18" hidden="false" customHeight="true" outlineLevel="0" collapsed="false">
      <c r="A41" s="70"/>
      <c r="B41" s="49"/>
      <c r="C41" s="49"/>
      <c r="D41" s="49"/>
      <c r="E41" s="49"/>
      <c r="F41" s="49"/>
      <c r="G41" s="49"/>
      <c r="H41" s="49"/>
    </row>
    <row r="42" customFormat="false" ht="18" hidden="false" customHeight="true" outlineLevel="0" collapsed="false">
      <c r="A42" s="69"/>
      <c r="B42" s="7"/>
      <c r="C42" s="7"/>
      <c r="D42" s="7"/>
      <c r="E42" s="7"/>
      <c r="F42" s="7"/>
      <c r="G42" s="7"/>
      <c r="H42" s="7"/>
    </row>
    <row r="43" customFormat="false" ht="18" hidden="false" customHeight="true" outlineLevel="0" collapsed="false">
      <c r="A43" s="70"/>
      <c r="B43" s="49"/>
      <c r="C43" s="49"/>
      <c r="D43" s="49"/>
      <c r="E43" s="49"/>
      <c r="F43" s="49"/>
      <c r="G43" s="49"/>
      <c r="H43" s="49"/>
    </row>
    <row r="44" customFormat="false" ht="18" hidden="false" customHeight="true" outlineLevel="0" collapsed="false">
      <c r="A44" s="69"/>
      <c r="B44" s="7"/>
      <c r="C44" s="7"/>
      <c r="D44" s="7"/>
      <c r="E44" s="7"/>
      <c r="F44" s="7"/>
      <c r="G44" s="7"/>
      <c r="H44" s="7"/>
    </row>
    <row r="45" customFormat="false" ht="18" hidden="false" customHeight="true" outlineLevel="0" collapsed="false">
      <c r="A45" s="70"/>
      <c r="B45" s="49"/>
      <c r="C45" s="49"/>
      <c r="D45" s="49"/>
      <c r="E45" s="49"/>
      <c r="F45" s="49"/>
      <c r="G45" s="49"/>
      <c r="H45" s="49"/>
    </row>
    <row r="46" customFormat="false" ht="18" hidden="false" customHeight="true" outlineLevel="0" collapsed="false">
      <c r="A46" s="69"/>
      <c r="B46" s="7"/>
      <c r="C46" s="7"/>
      <c r="D46" s="7"/>
      <c r="E46" s="7"/>
      <c r="F46" s="7"/>
      <c r="G46" s="7"/>
      <c r="H46" s="7"/>
    </row>
    <row r="47" customFormat="false" ht="18" hidden="false" customHeight="true" outlineLevel="0" collapsed="false">
      <c r="A47" s="70"/>
      <c r="B47" s="49"/>
      <c r="C47" s="49"/>
      <c r="D47" s="49"/>
      <c r="E47" s="49"/>
      <c r="F47" s="49"/>
      <c r="G47" s="49"/>
      <c r="H47" s="49"/>
    </row>
    <row r="48" customFormat="false" ht="18" hidden="false" customHeight="true" outlineLevel="0" collapsed="false">
      <c r="A48" s="69"/>
      <c r="B48" s="7"/>
      <c r="C48" s="7"/>
      <c r="D48" s="7"/>
      <c r="E48" s="7"/>
      <c r="F48" s="7"/>
      <c r="G48" s="7"/>
      <c r="H48" s="7"/>
    </row>
    <row r="49" customFormat="false" ht="18" hidden="false" customHeight="true" outlineLevel="0" collapsed="false">
      <c r="A49" s="70"/>
      <c r="B49" s="49"/>
      <c r="C49" s="49"/>
      <c r="D49" s="49"/>
      <c r="E49" s="49"/>
      <c r="F49" s="49"/>
      <c r="G49" s="49"/>
      <c r="H49" s="49"/>
    </row>
    <row r="50" customFormat="false" ht="18" hidden="false" customHeight="true" outlineLevel="0" collapsed="false">
      <c r="A50" s="69"/>
      <c r="B50" s="7"/>
      <c r="C50" s="7"/>
      <c r="D50" s="7"/>
      <c r="E50" s="7"/>
      <c r="F50" s="7"/>
      <c r="G50" s="7"/>
      <c r="H50" s="7"/>
    </row>
    <row r="51" customFormat="false" ht="18" hidden="false" customHeight="true" outlineLevel="0" collapsed="false">
      <c r="A51" s="70"/>
      <c r="B51" s="49"/>
      <c r="C51" s="49"/>
      <c r="D51" s="49"/>
      <c r="E51" s="49"/>
      <c r="F51" s="49"/>
      <c r="G51" s="49"/>
      <c r="H51" s="49"/>
    </row>
    <row r="52" customFormat="false" ht="18" hidden="false" customHeight="true" outlineLevel="0" collapsed="false">
      <c r="A52" s="69"/>
      <c r="B52" s="7"/>
      <c r="C52" s="7"/>
      <c r="D52" s="7"/>
      <c r="E52" s="7"/>
      <c r="F52" s="7"/>
      <c r="G52" s="7"/>
      <c r="H52" s="7"/>
    </row>
    <row r="53" customFormat="false" ht="18" hidden="false" customHeight="true" outlineLevel="0" collapsed="false">
      <c r="A53" s="70"/>
      <c r="B53" s="49"/>
      <c r="C53" s="49"/>
      <c r="D53" s="49"/>
      <c r="E53" s="49"/>
      <c r="F53" s="49"/>
      <c r="G53" s="49"/>
      <c r="H53" s="4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9" activePane="bottomLeft" state="frozen"/>
      <selection pane="topLeft" activeCell="A1" activeCellId="0" sqref="A1"/>
      <selection pane="bottomLeft" activeCell="B15" activeCellId="0" sqref="B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343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345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A5" s="5" t="s">
        <v>109</v>
      </c>
      <c r="B5" s="5" t="str">
        <f aca="false">Assumptions!A29</f>
        <v>The Parks MC</v>
      </c>
    </row>
    <row r="6" customFormat="false" ht="18" hidden="false" customHeight="true" outlineLevel="0" collapsed="false">
      <c r="A6" s="5" t="s">
        <v>55</v>
      </c>
      <c r="B6" s="51" t="n">
        <f aca="false">Assumptions!B29</f>
        <v>22827</v>
      </c>
    </row>
    <row r="7" customFormat="false" ht="18" hidden="false" customHeight="true" outlineLevel="0" collapsed="false">
      <c r="A7" s="5" t="s">
        <v>346</v>
      </c>
      <c r="B7" s="5" t="s">
        <v>60</v>
      </c>
    </row>
    <row r="8" customFormat="false" ht="18" hidden="false" customHeight="true" outlineLevel="0" collapsed="false">
      <c r="A8" s="5" t="s">
        <v>57</v>
      </c>
      <c r="B8" s="5" t="s">
        <v>61</v>
      </c>
    </row>
    <row r="9" customFormat="false" ht="18" hidden="false" customHeight="true" outlineLevel="0" collapsed="false">
      <c r="A9" s="5" t="s">
        <v>347</v>
      </c>
      <c r="B9" s="52" t="n">
        <f aca="false">Assumptions!E29</f>
        <v>0.254811126986962</v>
      </c>
    </row>
    <row r="11" customFormat="false" ht="24" hidden="false" customHeight="true" outlineLevel="0" collapsed="false">
      <c r="A11" s="3" t="s">
        <v>348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4" t="s">
        <v>183</v>
      </c>
      <c r="B12" s="4" t="s">
        <v>4</v>
      </c>
      <c r="C12" s="4"/>
      <c r="D12" s="4"/>
      <c r="E12" s="4"/>
      <c r="F12" s="4"/>
      <c r="G12" s="4"/>
      <c r="H12" s="4"/>
      <c r="I12" s="4"/>
      <c r="J12" s="4"/>
    </row>
    <row r="13" customFormat="false" ht="18" hidden="false" customHeight="true" outlineLevel="0" collapsed="false">
      <c r="A13" s="5" t="s">
        <v>349</v>
      </c>
      <c r="B13" s="26" t="n">
        <f aca="false">'Practice Allocations'!D4</f>
        <v>601034.91</v>
      </c>
    </row>
    <row r="14" customFormat="false" ht="18" hidden="false" customHeight="true" outlineLevel="0" collapsed="false">
      <c r="A14" s="5" t="s">
        <v>350</v>
      </c>
      <c r="B14" s="26" t="n">
        <f aca="false">'Practice Allocations'!E4</f>
        <v>50086.2425</v>
      </c>
    </row>
    <row r="15" customFormat="false" ht="18" hidden="false" customHeight="true" outlineLevel="0" collapsed="false">
      <c r="A15" s="5" t="s">
        <v>351</v>
      </c>
      <c r="B15" s="26" t="n">
        <f aca="false">'Practice Allocations'!F4</f>
        <v>450776.1825</v>
      </c>
    </row>
    <row r="16" customFormat="false" ht="18" hidden="false" customHeight="true" outlineLevel="0" collapsed="false">
      <c r="A16" s="5" t="s">
        <v>352</v>
      </c>
      <c r="B16" s="26" t="n">
        <f aca="false">'Practice Allocations'!D4*Assumptions!B16</f>
        <v>150258.7275</v>
      </c>
    </row>
    <row r="18" customFormat="false" ht="24" hidden="false" customHeight="true" outlineLevel="0" collapsed="false">
      <c r="A18" s="3" t="s">
        <v>353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30" hidden="false" customHeight="true" outlineLevel="0" collapsed="false">
      <c r="A19" s="4" t="s">
        <v>274</v>
      </c>
      <c r="B19" s="4" t="s">
        <v>354</v>
      </c>
      <c r="C19" s="4" t="s">
        <v>355</v>
      </c>
      <c r="D19" s="4" t="s">
        <v>102</v>
      </c>
      <c r="E19" s="4" t="s">
        <v>103</v>
      </c>
      <c r="F19" s="4" t="s">
        <v>356</v>
      </c>
      <c r="G19" s="4"/>
      <c r="H19" s="4"/>
      <c r="I19" s="4"/>
      <c r="J19" s="4"/>
    </row>
    <row r="20" customFormat="false" ht="18" hidden="false" customHeight="true" outlineLevel="0" collapsed="false">
      <c r="A20" s="71" t="s">
        <v>170</v>
      </c>
      <c r="B20" s="65" t="n">
        <f aca="false">Assumptions!B10</f>
        <v>39</v>
      </c>
      <c r="C20" s="72" t="n">
        <f aca="false">'Practice Allocations'!G4</f>
        <v>346.9704</v>
      </c>
      <c r="D20" s="73" t="n">
        <f aca="false">'Practice Allocations'!H4</f>
        <v>173.4852</v>
      </c>
      <c r="E20" s="73" t="n">
        <f aca="false">'Practice Allocations'!I4</f>
        <v>173.4852</v>
      </c>
      <c r="F20" s="74" t="n">
        <f aca="false">B20*C20</f>
        <v>13531.8456</v>
      </c>
    </row>
    <row r="21" customFormat="false" ht="18" hidden="false" customHeight="true" outlineLevel="0" collapsed="false">
      <c r="A21" s="47" t="s">
        <v>278</v>
      </c>
      <c r="B21" s="75" t="n">
        <f aca="false">Assumptions!B11</f>
        <v>13</v>
      </c>
      <c r="C21" s="76" t="n">
        <f aca="false">'Practice Allocations'!J4</f>
        <v>415.4514</v>
      </c>
      <c r="D21" s="77" t="n">
        <f aca="false">'Practice Allocations'!K4</f>
        <v>207.7257</v>
      </c>
      <c r="E21" s="77" t="n">
        <f aca="false">'Practice Allocations'!L4</f>
        <v>207.7257</v>
      </c>
      <c r="F21" s="48" t="n">
        <f aca="false">B21*C21</f>
        <v>5400.8682</v>
      </c>
    </row>
    <row r="22" customFormat="false" ht="18" hidden="false" customHeight="true" outlineLevel="0" collapsed="false">
      <c r="A22" s="20" t="s">
        <v>265</v>
      </c>
      <c r="B22" s="21" t="n">
        <f aca="false">B20+B21</f>
        <v>52</v>
      </c>
      <c r="C22" s="22"/>
      <c r="D22" s="22"/>
      <c r="E22" s="22"/>
      <c r="F22" s="21" t="n">
        <f aca="false">'Practice Allocations'!M4</f>
        <v>18932.7138</v>
      </c>
    </row>
    <row r="24" customFormat="false" ht="24" hidden="false" customHeight="true" outlineLevel="0" collapsed="false">
      <c r="A24" s="3" t="s">
        <v>357</v>
      </c>
      <c r="B24" s="3"/>
      <c r="C24" s="3"/>
      <c r="D24" s="3"/>
      <c r="E24" s="3"/>
      <c r="F24" s="3"/>
      <c r="G24" s="3"/>
      <c r="H24" s="3"/>
      <c r="I24" s="3"/>
      <c r="J24" s="3"/>
    </row>
    <row r="25" customFormat="false" ht="30" hidden="false" customHeight="true" outlineLevel="0" collapsed="false">
      <c r="A25" s="4" t="s">
        <v>273</v>
      </c>
      <c r="B25" s="4" t="s">
        <v>274</v>
      </c>
      <c r="C25" s="4" t="s">
        <v>358</v>
      </c>
      <c r="D25" s="4" t="s">
        <v>359</v>
      </c>
      <c r="E25" s="4" t="s">
        <v>360</v>
      </c>
      <c r="F25" s="4" t="s">
        <v>275</v>
      </c>
      <c r="G25" s="4" t="s">
        <v>112</v>
      </c>
      <c r="H25" s="4" t="s">
        <v>361</v>
      </c>
      <c r="I25" s="4" t="s">
        <v>362</v>
      </c>
      <c r="J25" s="4" t="s">
        <v>363</v>
      </c>
    </row>
    <row r="26" customFormat="false" ht="18" hidden="false" customHeight="true" outlineLevel="0" collapsed="false">
      <c r="A26" s="18" t="n">
        <v>1</v>
      </c>
      <c r="B26" s="61" t="s">
        <v>170</v>
      </c>
      <c r="C26" s="31" t="n">
        <f aca="false">C20</f>
        <v>346.9704</v>
      </c>
      <c r="D26" s="55"/>
      <c r="E26" s="55"/>
      <c r="F26" s="51" t="n">
        <f aca="false">D26+E26</f>
        <v>0</v>
      </c>
      <c r="G26" s="31" t="n">
        <f aca="false">F26-C26</f>
        <v>-346.9704</v>
      </c>
      <c r="H26" s="19" t="n">
        <f aca="false">IF(C26&gt;0,F26/C26,0)</f>
        <v>0</v>
      </c>
      <c r="I26" s="55"/>
      <c r="J26" s="55"/>
    </row>
    <row r="27" customFormat="false" ht="18" hidden="false" customHeight="true" outlineLevel="0" collapsed="false">
      <c r="A27" s="18" t="n">
        <v>2</v>
      </c>
      <c r="B27" s="61" t="s">
        <v>170</v>
      </c>
      <c r="C27" s="31" t="n">
        <f aca="false">C20</f>
        <v>346.9704</v>
      </c>
      <c r="D27" s="55"/>
      <c r="E27" s="55"/>
      <c r="F27" s="51" t="n">
        <f aca="false">D27+E27</f>
        <v>0</v>
      </c>
      <c r="G27" s="31" t="n">
        <f aca="false">F27-C27</f>
        <v>-346.9704</v>
      </c>
      <c r="H27" s="19" t="n">
        <f aca="false">IF(C27&gt;0,F27/C27,0)</f>
        <v>0</v>
      </c>
      <c r="I27" s="55"/>
      <c r="J27" s="55"/>
    </row>
    <row r="28" customFormat="false" ht="18" hidden="false" customHeight="true" outlineLevel="0" collapsed="false">
      <c r="A28" s="18" t="n">
        <v>3</v>
      </c>
      <c r="B28" s="61" t="s">
        <v>170</v>
      </c>
      <c r="C28" s="31" t="n">
        <f aca="false">C20</f>
        <v>346.9704</v>
      </c>
      <c r="D28" s="55"/>
      <c r="E28" s="55"/>
      <c r="F28" s="51" t="n">
        <f aca="false">D28+E28</f>
        <v>0</v>
      </c>
      <c r="G28" s="31" t="n">
        <f aca="false">F28-C28</f>
        <v>-346.9704</v>
      </c>
      <c r="H28" s="19" t="n">
        <f aca="false">IF(C28&gt;0,F28/C28,0)</f>
        <v>0</v>
      </c>
      <c r="I28" s="55"/>
      <c r="J28" s="55"/>
    </row>
    <row r="29" customFormat="false" ht="18" hidden="false" customHeight="true" outlineLevel="0" collapsed="false">
      <c r="A29" s="18" t="n">
        <v>4</v>
      </c>
      <c r="B29" s="61" t="s">
        <v>170</v>
      </c>
      <c r="C29" s="31" t="n">
        <f aca="false">C20</f>
        <v>346.9704</v>
      </c>
      <c r="D29" s="55"/>
      <c r="E29" s="55"/>
      <c r="F29" s="51" t="n">
        <f aca="false">D29+E29</f>
        <v>0</v>
      </c>
      <c r="G29" s="31" t="n">
        <f aca="false">F29-C29</f>
        <v>-346.9704</v>
      </c>
      <c r="H29" s="19" t="n">
        <f aca="false">IF(C29&gt;0,F29/C29,0)</f>
        <v>0</v>
      </c>
      <c r="I29" s="55"/>
      <c r="J29" s="55"/>
    </row>
    <row r="30" customFormat="false" ht="18" hidden="false" customHeight="true" outlineLevel="0" collapsed="false">
      <c r="A30" s="18" t="n">
        <v>5</v>
      </c>
      <c r="B30" s="61" t="s">
        <v>170</v>
      </c>
      <c r="C30" s="31" t="n">
        <f aca="false">C20</f>
        <v>346.9704</v>
      </c>
      <c r="D30" s="55"/>
      <c r="E30" s="55"/>
      <c r="F30" s="51" t="n">
        <f aca="false">D30+E30</f>
        <v>0</v>
      </c>
      <c r="G30" s="31" t="n">
        <f aca="false">F30-C30</f>
        <v>-346.9704</v>
      </c>
      <c r="H30" s="19" t="n">
        <f aca="false">IF(C30&gt;0,F30/C30,0)</f>
        <v>0</v>
      </c>
      <c r="I30" s="55"/>
      <c r="J30" s="55"/>
    </row>
    <row r="31" customFormat="false" ht="18" hidden="false" customHeight="true" outlineLevel="0" collapsed="false">
      <c r="A31" s="18" t="n">
        <v>6</v>
      </c>
      <c r="B31" s="61" t="s">
        <v>170</v>
      </c>
      <c r="C31" s="31" t="n">
        <f aca="false">C20</f>
        <v>346.9704</v>
      </c>
      <c r="D31" s="55"/>
      <c r="E31" s="55"/>
      <c r="F31" s="51" t="n">
        <f aca="false">D31+E31</f>
        <v>0</v>
      </c>
      <c r="G31" s="31" t="n">
        <f aca="false">F31-C31</f>
        <v>-346.9704</v>
      </c>
      <c r="H31" s="19" t="n">
        <f aca="false">IF(C31&gt;0,F31/C31,0)</f>
        <v>0</v>
      </c>
      <c r="I31" s="55"/>
      <c r="J31" s="55"/>
    </row>
    <row r="32" customFormat="false" ht="18" hidden="false" customHeight="true" outlineLevel="0" collapsed="false">
      <c r="A32" s="18" t="n">
        <v>7</v>
      </c>
      <c r="B32" s="61" t="s">
        <v>170</v>
      </c>
      <c r="C32" s="31" t="n">
        <f aca="false">C20</f>
        <v>346.9704</v>
      </c>
      <c r="D32" s="55"/>
      <c r="E32" s="55"/>
      <c r="F32" s="51" t="n">
        <f aca="false">D32+E32</f>
        <v>0</v>
      </c>
      <c r="G32" s="31" t="n">
        <f aca="false">F32-C32</f>
        <v>-346.9704</v>
      </c>
      <c r="H32" s="19" t="n">
        <f aca="false">IF(C32&gt;0,F32/C32,0)</f>
        <v>0</v>
      </c>
      <c r="I32" s="55"/>
      <c r="J32" s="55"/>
    </row>
    <row r="33" customFormat="false" ht="18" hidden="false" customHeight="true" outlineLevel="0" collapsed="false">
      <c r="A33" s="18" t="n">
        <v>8</v>
      </c>
      <c r="B33" s="61" t="s">
        <v>170</v>
      </c>
      <c r="C33" s="31" t="n">
        <f aca="false">C20</f>
        <v>346.9704</v>
      </c>
      <c r="D33" s="55"/>
      <c r="E33" s="55"/>
      <c r="F33" s="51" t="n">
        <f aca="false">D33+E33</f>
        <v>0</v>
      </c>
      <c r="G33" s="31" t="n">
        <f aca="false">F33-C33</f>
        <v>-346.9704</v>
      </c>
      <c r="H33" s="19" t="n">
        <f aca="false">IF(C33&gt;0,F33/C33,0)</f>
        <v>0</v>
      </c>
      <c r="I33" s="55"/>
      <c r="J33" s="55"/>
    </row>
    <row r="34" customFormat="false" ht="18" hidden="false" customHeight="true" outlineLevel="0" collapsed="false">
      <c r="A34" s="18" t="n">
        <v>9</v>
      </c>
      <c r="B34" s="61" t="s">
        <v>170</v>
      </c>
      <c r="C34" s="31" t="n">
        <f aca="false">C20</f>
        <v>346.9704</v>
      </c>
      <c r="D34" s="55"/>
      <c r="E34" s="55"/>
      <c r="F34" s="51" t="n">
        <f aca="false">D34+E34</f>
        <v>0</v>
      </c>
      <c r="G34" s="31" t="n">
        <f aca="false">F34-C34</f>
        <v>-346.9704</v>
      </c>
      <c r="H34" s="19" t="n">
        <f aca="false">IF(C34&gt;0,F34/C34,0)</f>
        <v>0</v>
      </c>
      <c r="I34" s="55"/>
      <c r="J34" s="55"/>
    </row>
    <row r="35" customFormat="false" ht="18" hidden="false" customHeight="true" outlineLevel="0" collapsed="false">
      <c r="A35" s="18" t="n">
        <v>10</v>
      </c>
      <c r="B35" s="61" t="s">
        <v>170</v>
      </c>
      <c r="C35" s="31" t="n">
        <f aca="false">C20</f>
        <v>346.9704</v>
      </c>
      <c r="D35" s="55"/>
      <c r="E35" s="55"/>
      <c r="F35" s="51" t="n">
        <f aca="false">D35+E35</f>
        <v>0</v>
      </c>
      <c r="G35" s="31" t="n">
        <f aca="false">F35-C35</f>
        <v>-346.9704</v>
      </c>
      <c r="H35" s="19" t="n">
        <f aca="false">IF(C35&gt;0,F35/C35,0)</f>
        <v>0</v>
      </c>
      <c r="I35" s="55"/>
      <c r="J35" s="55"/>
    </row>
    <row r="36" customFormat="false" ht="18" hidden="false" customHeight="true" outlineLevel="0" collapsed="false">
      <c r="A36" s="18" t="n">
        <v>11</v>
      </c>
      <c r="B36" s="61" t="s">
        <v>170</v>
      </c>
      <c r="C36" s="31" t="n">
        <f aca="false">C20</f>
        <v>346.9704</v>
      </c>
      <c r="D36" s="55"/>
      <c r="E36" s="55"/>
      <c r="F36" s="51" t="n">
        <f aca="false">D36+E36</f>
        <v>0</v>
      </c>
      <c r="G36" s="31" t="n">
        <f aca="false">F36-C36</f>
        <v>-346.9704</v>
      </c>
      <c r="H36" s="19" t="n">
        <f aca="false">IF(C36&gt;0,F36/C36,0)</f>
        <v>0</v>
      </c>
      <c r="I36" s="55"/>
      <c r="J36" s="55"/>
    </row>
    <row r="37" customFormat="false" ht="18" hidden="false" customHeight="true" outlineLevel="0" collapsed="false">
      <c r="A37" s="18" t="n">
        <v>12</v>
      </c>
      <c r="B37" s="61" t="s">
        <v>170</v>
      </c>
      <c r="C37" s="31" t="n">
        <f aca="false">C20</f>
        <v>346.9704</v>
      </c>
      <c r="D37" s="55"/>
      <c r="E37" s="55"/>
      <c r="F37" s="51" t="n">
        <f aca="false">D37+E37</f>
        <v>0</v>
      </c>
      <c r="G37" s="31" t="n">
        <f aca="false">F37-C37</f>
        <v>-346.9704</v>
      </c>
      <c r="H37" s="19" t="n">
        <f aca="false">IF(C37&gt;0,F37/C37,0)</f>
        <v>0</v>
      </c>
      <c r="I37" s="55"/>
      <c r="J37" s="55"/>
    </row>
    <row r="38" customFormat="false" ht="18" hidden="false" customHeight="true" outlineLevel="0" collapsed="false">
      <c r="A38" s="18" t="n">
        <v>13</v>
      </c>
      <c r="B38" s="61" t="s">
        <v>170</v>
      </c>
      <c r="C38" s="31" t="n">
        <f aca="false">C20</f>
        <v>346.9704</v>
      </c>
      <c r="D38" s="55"/>
      <c r="E38" s="55"/>
      <c r="F38" s="51" t="n">
        <f aca="false">D38+E38</f>
        <v>0</v>
      </c>
      <c r="G38" s="31" t="n">
        <f aca="false">F38-C38</f>
        <v>-346.9704</v>
      </c>
      <c r="H38" s="19" t="n">
        <f aca="false">IF(C38&gt;0,F38/C38,0)</f>
        <v>0</v>
      </c>
      <c r="I38" s="55"/>
      <c r="J38" s="55"/>
    </row>
    <row r="39" customFormat="false" ht="18" hidden="false" customHeight="true" outlineLevel="0" collapsed="false">
      <c r="A39" s="20" t="s">
        <v>364</v>
      </c>
      <c r="B39" s="22"/>
      <c r="C39" s="21" t="n">
        <f aca="false">SUM(C26:C38)</f>
        <v>4510.6152</v>
      </c>
      <c r="D39" s="21" t="n">
        <f aca="false">SUM(D26:D38)</f>
        <v>0</v>
      </c>
      <c r="E39" s="21" t="n">
        <f aca="false">SUM(E26:E38)</f>
        <v>0</v>
      </c>
      <c r="F39" s="21" t="n">
        <f aca="false">SUM(F26:F38)</f>
        <v>0</v>
      </c>
      <c r="G39" s="21" t="n">
        <f aca="false">F39-C39</f>
        <v>-4510.6152</v>
      </c>
      <c r="H39" s="23" t="n">
        <f aca="false">IF(C39&gt;0,F39/C39,0)</f>
        <v>0</v>
      </c>
      <c r="I39" s="21" t="n">
        <f aca="false">SUM(I26:I38)</f>
        <v>0</v>
      </c>
      <c r="J39" s="21" t="n">
        <f aca="false">SUM(J26:J38)</f>
        <v>0</v>
      </c>
    </row>
    <row r="40" customFormat="false" ht="18" hidden="false" customHeight="true" outlineLevel="0" collapsed="false">
      <c r="A40" s="5" t="s">
        <v>365</v>
      </c>
      <c r="B40" s="5" t="str">
        <f aca="false">IF(H39&gt;=1,"GREEN",IF(H39&gt;=0.8,"AMBER","RED"))</f>
        <v>RED</v>
      </c>
    </row>
    <row r="42" customFormat="false" ht="24" hidden="false" customHeight="true" outlineLevel="0" collapsed="false">
      <c r="A42" s="3" t="s">
        <v>366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30" hidden="false" customHeight="true" outlineLevel="0" collapsed="false">
      <c r="A43" s="4" t="s">
        <v>174</v>
      </c>
      <c r="B43" s="4" t="s">
        <v>72</v>
      </c>
      <c r="C43" s="4" t="s">
        <v>281</v>
      </c>
      <c r="D43" s="4" t="s">
        <v>197</v>
      </c>
      <c r="E43" s="4" t="s">
        <v>367</v>
      </c>
      <c r="F43" s="4" t="s">
        <v>368</v>
      </c>
      <c r="G43" s="4" t="s">
        <v>282</v>
      </c>
      <c r="H43" s="4" t="s">
        <v>199</v>
      </c>
      <c r="I43" s="4" t="s">
        <v>283</v>
      </c>
      <c r="J43" s="4" t="s">
        <v>369</v>
      </c>
    </row>
    <row r="44" customFormat="false" ht="18" hidden="false" customHeight="true" outlineLevel="0" collapsed="false">
      <c r="A44" s="63"/>
      <c r="B44" s="63"/>
      <c r="C44" s="63"/>
      <c r="D44" s="55"/>
      <c r="E44" s="55"/>
      <c r="F44" s="18" t="str">
        <f aca="false">IF(D44="","",D44*E44)</f>
        <v/>
      </c>
      <c r="G44" s="56"/>
      <c r="H44" s="29" t="str">
        <f aca="false">IF(D44="","",D44*G44)</f>
        <v/>
      </c>
      <c r="I44" s="29" t="str">
        <f aca="false">IF(H44="","",H44*Assumptions!B17)</f>
        <v/>
      </c>
      <c r="J44" s="26" t="str">
        <f aca="false">IF(H44="","",H44+I44)</f>
        <v/>
      </c>
    </row>
    <row r="45" customFormat="false" ht="18" hidden="false" customHeight="true" outlineLevel="0" collapsed="false">
      <c r="A45" s="63"/>
      <c r="B45" s="63"/>
      <c r="C45" s="63"/>
      <c r="D45" s="55"/>
      <c r="E45" s="55"/>
      <c r="F45" s="18" t="str">
        <f aca="false">IF(D45="","",D45*E45)</f>
        <v/>
      </c>
      <c r="G45" s="56"/>
      <c r="H45" s="29" t="str">
        <f aca="false">IF(D45="","",D45*G45)</f>
        <v/>
      </c>
      <c r="I45" s="29" t="str">
        <f aca="false">IF(H45="","",H45*Assumptions!B17)</f>
        <v/>
      </c>
      <c r="J45" s="26" t="str">
        <f aca="false">IF(H45="","",H45+I45)</f>
        <v/>
      </c>
    </row>
    <row r="46" customFormat="false" ht="18" hidden="false" customHeight="true" outlineLevel="0" collapsed="false">
      <c r="A46" s="63"/>
      <c r="B46" s="63"/>
      <c r="C46" s="63"/>
      <c r="D46" s="55"/>
      <c r="E46" s="55"/>
      <c r="F46" s="18" t="str">
        <f aca="false">IF(D46="","",D46*E46)</f>
        <v/>
      </c>
      <c r="G46" s="56"/>
      <c r="H46" s="29" t="str">
        <f aca="false">IF(D46="","",D46*G46)</f>
        <v/>
      </c>
      <c r="I46" s="29" t="str">
        <f aca="false">IF(H46="","",H46*Assumptions!B17)</f>
        <v/>
      </c>
      <c r="J46" s="26" t="str">
        <f aca="false">IF(H46="","",H46+I46)</f>
        <v/>
      </c>
    </row>
    <row r="47" customFormat="false" ht="18" hidden="false" customHeight="true" outlineLevel="0" collapsed="false">
      <c r="A47" s="63"/>
      <c r="B47" s="63"/>
      <c r="C47" s="63"/>
      <c r="D47" s="55"/>
      <c r="E47" s="55"/>
      <c r="F47" s="18" t="str">
        <f aca="false">IF(D47="","",D47*E47)</f>
        <v/>
      </c>
      <c r="G47" s="56"/>
      <c r="H47" s="29" t="str">
        <f aca="false">IF(D47="","",D47*G47)</f>
        <v/>
      </c>
      <c r="I47" s="29" t="str">
        <f aca="false">IF(H47="","",H47*Assumptions!B17)</f>
        <v/>
      </c>
      <c r="J47" s="26" t="str">
        <f aca="false">IF(H47="","",H47+I47)</f>
        <v/>
      </c>
    </row>
    <row r="48" customFormat="false" ht="18" hidden="false" customHeight="true" outlineLevel="0" collapsed="false">
      <c r="A48" s="63"/>
      <c r="B48" s="63"/>
      <c r="C48" s="63"/>
      <c r="D48" s="55"/>
      <c r="E48" s="55"/>
      <c r="F48" s="18" t="str">
        <f aca="false">IF(D48="","",D48*E48)</f>
        <v/>
      </c>
      <c r="G48" s="56"/>
      <c r="H48" s="29" t="str">
        <f aca="false">IF(D48="","",D48*G48)</f>
        <v/>
      </c>
      <c r="I48" s="29" t="str">
        <f aca="false">IF(H48="","",H48*Assumptions!B17)</f>
        <v/>
      </c>
      <c r="J48" s="26" t="str">
        <f aca="false">IF(H48="","",H48+I48)</f>
        <v/>
      </c>
    </row>
    <row r="49" customFormat="false" ht="18" hidden="false" customHeight="true" outlineLevel="0" collapsed="false">
      <c r="A49" s="63"/>
      <c r="B49" s="63"/>
      <c r="C49" s="63"/>
      <c r="D49" s="55"/>
      <c r="E49" s="55"/>
      <c r="F49" s="18" t="str">
        <f aca="false">IF(D49="","",D49*E49)</f>
        <v/>
      </c>
      <c r="G49" s="56"/>
      <c r="H49" s="29" t="str">
        <f aca="false">IF(D49="","",D49*G49)</f>
        <v/>
      </c>
      <c r="I49" s="29" t="str">
        <f aca="false">IF(H49="","",H49*Assumptions!B17)</f>
        <v/>
      </c>
      <c r="J49" s="26" t="str">
        <f aca="false">IF(H49="","",H49+I49)</f>
        <v/>
      </c>
    </row>
    <row r="50" customFormat="false" ht="18" hidden="false" customHeight="true" outlineLevel="0" collapsed="false">
      <c r="A50" s="63"/>
      <c r="B50" s="63"/>
      <c r="C50" s="63"/>
      <c r="D50" s="55"/>
      <c r="E50" s="55"/>
      <c r="F50" s="18" t="str">
        <f aca="false">IF(D50="","",D50*E50)</f>
        <v/>
      </c>
      <c r="G50" s="56"/>
      <c r="H50" s="29" t="str">
        <f aca="false">IF(D50="","",D50*G50)</f>
        <v/>
      </c>
      <c r="I50" s="29" t="str">
        <f aca="false">IF(H50="","",H50*Assumptions!B17)</f>
        <v/>
      </c>
      <c r="J50" s="26" t="str">
        <f aca="false">IF(H50="","",H50+I50)</f>
        <v/>
      </c>
    </row>
    <row r="51" customFormat="false" ht="18" hidden="false" customHeight="true" outlineLevel="0" collapsed="false">
      <c r="A51" s="63"/>
      <c r="B51" s="63"/>
      <c r="C51" s="63"/>
      <c r="D51" s="55"/>
      <c r="E51" s="55"/>
      <c r="F51" s="18" t="str">
        <f aca="false">IF(D51="","",D51*E51)</f>
        <v/>
      </c>
      <c r="G51" s="56"/>
      <c r="H51" s="29" t="str">
        <f aca="false">IF(D51="","",D51*G51)</f>
        <v/>
      </c>
      <c r="I51" s="29" t="str">
        <f aca="false">IF(H51="","",H51*Assumptions!B17)</f>
        <v/>
      </c>
      <c r="J51" s="26" t="str">
        <f aca="false">IF(H51="","",H51+I51)</f>
        <v/>
      </c>
    </row>
    <row r="52" customFormat="false" ht="18" hidden="false" customHeight="true" outlineLevel="0" collapsed="false">
      <c r="A52" s="63"/>
      <c r="B52" s="63"/>
      <c r="C52" s="63"/>
      <c r="D52" s="55"/>
      <c r="E52" s="55"/>
      <c r="F52" s="18" t="str">
        <f aca="false">IF(D52="","",D52*E52)</f>
        <v/>
      </c>
      <c r="G52" s="56"/>
      <c r="H52" s="29" t="str">
        <f aca="false">IF(D52="","",D52*G52)</f>
        <v/>
      </c>
      <c r="I52" s="29" t="str">
        <f aca="false">IF(H52="","",H52*Assumptions!B17)</f>
        <v/>
      </c>
      <c r="J52" s="26" t="str">
        <f aca="false">IF(H52="","",H52+I52)</f>
        <v/>
      </c>
    </row>
    <row r="53" customFormat="false" ht="18" hidden="false" customHeight="true" outlineLevel="0" collapsed="false">
      <c r="A53" s="63"/>
      <c r="B53" s="63"/>
      <c r="C53" s="63"/>
      <c r="D53" s="55"/>
      <c r="E53" s="55"/>
      <c r="F53" s="18" t="str">
        <f aca="false">IF(D53="","",D53*E53)</f>
        <v/>
      </c>
      <c r="G53" s="56"/>
      <c r="H53" s="29" t="str">
        <f aca="false">IF(D53="","",D53*G53)</f>
        <v/>
      </c>
      <c r="I53" s="29" t="str">
        <f aca="false">IF(H53="","",H53*Assumptions!B17)</f>
        <v/>
      </c>
      <c r="J53" s="26" t="str">
        <f aca="false">IF(H53="","",H53+I53)</f>
        <v/>
      </c>
    </row>
    <row r="54" customFormat="false" ht="18" hidden="false" customHeight="true" outlineLevel="0" collapsed="false">
      <c r="A54" s="20" t="s">
        <v>370</v>
      </c>
      <c r="B54" s="22"/>
      <c r="C54" s="22"/>
      <c r="D54" s="21" t="n">
        <f aca="false">SUM(D44:D53)</f>
        <v>0</v>
      </c>
      <c r="E54" s="22"/>
      <c r="F54" s="21" t="n">
        <f aca="false">SUM(F44:F53)</f>
        <v>0</v>
      </c>
      <c r="G54" s="22"/>
      <c r="H54" s="32" t="n">
        <f aca="false">SUM(H44:H53)</f>
        <v>0</v>
      </c>
      <c r="I54" s="32" t="n">
        <f aca="false">SUM(I44:I53)</f>
        <v>0</v>
      </c>
      <c r="J54" s="32" t="n">
        <f aca="false">SUM(J44:J53)</f>
        <v>0</v>
      </c>
    </row>
    <row r="56" customFormat="false" ht="24" hidden="false" customHeight="true" outlineLevel="0" collapsed="false">
      <c r="A56" s="3" t="s">
        <v>371</v>
      </c>
      <c r="B56" s="3"/>
      <c r="C56" s="3"/>
      <c r="D56" s="3"/>
      <c r="E56" s="3"/>
      <c r="F56" s="3"/>
      <c r="G56" s="3"/>
      <c r="H56" s="3"/>
      <c r="I56" s="3"/>
      <c r="J56" s="3"/>
    </row>
    <row r="57" customFormat="false" ht="30" hidden="false" customHeight="true" outlineLevel="0" collapsed="false">
      <c r="A57" s="4" t="s">
        <v>174</v>
      </c>
      <c r="B57" s="4" t="s">
        <v>72</v>
      </c>
      <c r="C57" s="4" t="s">
        <v>197</v>
      </c>
      <c r="D57" s="4" t="s">
        <v>372</v>
      </c>
      <c r="E57" s="4" t="s">
        <v>373</v>
      </c>
      <c r="F57" s="4" t="s">
        <v>283</v>
      </c>
      <c r="G57" s="4" t="s">
        <v>374</v>
      </c>
      <c r="H57" s="4" t="s">
        <v>202</v>
      </c>
      <c r="I57" s="4" t="s">
        <v>375</v>
      </c>
      <c r="J57" s="4" t="s">
        <v>205</v>
      </c>
    </row>
    <row r="58" customFormat="false" ht="18" hidden="false" customHeight="true" outlineLevel="0" collapsed="false">
      <c r="A58" s="63"/>
      <c r="B58" s="63"/>
      <c r="C58" s="55"/>
      <c r="D58" s="56"/>
      <c r="E58" s="29" t="str">
        <f aca="false">IF(C58="","",C58*D58)</f>
        <v/>
      </c>
      <c r="F58" s="29" t="str">
        <f aca="false">IF(E58="","",E58*Assumptions!B17)</f>
        <v/>
      </c>
      <c r="G58" s="26" t="str">
        <f aca="false">IF(E58="","",E58+F58)</f>
        <v/>
      </c>
      <c r="H58" s="57"/>
      <c r="I58" s="26" t="str">
        <f aca="false">IF(G58="","",G58*H58)</f>
        <v/>
      </c>
      <c r="J58" s="63"/>
    </row>
    <row r="59" customFormat="false" ht="18" hidden="false" customHeight="true" outlineLevel="0" collapsed="false">
      <c r="A59" s="63"/>
      <c r="B59" s="63"/>
      <c r="C59" s="55"/>
      <c r="D59" s="56"/>
      <c r="E59" s="29" t="str">
        <f aca="false">IF(C59="","",C59*D59)</f>
        <v/>
      </c>
      <c r="F59" s="29" t="str">
        <f aca="false">IF(E59="","",E59*Assumptions!B17)</f>
        <v/>
      </c>
      <c r="G59" s="26" t="str">
        <f aca="false">IF(E59="","",E59+F59)</f>
        <v/>
      </c>
      <c r="H59" s="57"/>
      <c r="I59" s="26" t="str">
        <f aca="false">IF(G59="","",G59*H59)</f>
        <v/>
      </c>
      <c r="J59" s="63"/>
    </row>
    <row r="60" customFormat="false" ht="18" hidden="false" customHeight="true" outlineLevel="0" collapsed="false">
      <c r="A60" s="63"/>
      <c r="B60" s="63"/>
      <c r="C60" s="55"/>
      <c r="D60" s="56"/>
      <c r="E60" s="29" t="str">
        <f aca="false">IF(C60="","",C60*D60)</f>
        <v/>
      </c>
      <c r="F60" s="29" t="str">
        <f aca="false">IF(E60="","",E60*Assumptions!B17)</f>
        <v/>
      </c>
      <c r="G60" s="26" t="str">
        <f aca="false">IF(E60="","",E60+F60)</f>
        <v/>
      </c>
      <c r="H60" s="57"/>
      <c r="I60" s="26" t="str">
        <f aca="false">IF(G60="","",G60*H60)</f>
        <v/>
      </c>
      <c r="J60" s="63"/>
    </row>
    <row r="61" customFormat="false" ht="18" hidden="false" customHeight="true" outlineLevel="0" collapsed="false">
      <c r="A61" s="63"/>
      <c r="B61" s="63"/>
      <c r="C61" s="55"/>
      <c r="D61" s="56"/>
      <c r="E61" s="29" t="str">
        <f aca="false">IF(C61="","",C61*D61)</f>
        <v/>
      </c>
      <c r="F61" s="29" t="str">
        <f aca="false">IF(E61="","",E61*Assumptions!B17)</f>
        <v/>
      </c>
      <c r="G61" s="26" t="str">
        <f aca="false">IF(E61="","",E61+F61)</f>
        <v/>
      </c>
      <c r="H61" s="57"/>
      <c r="I61" s="26" t="str">
        <f aca="false">IF(G61="","",G61*H61)</f>
        <v/>
      </c>
      <c r="J61" s="63"/>
    </row>
    <row r="62" customFormat="false" ht="18" hidden="false" customHeight="true" outlineLevel="0" collapsed="false">
      <c r="A62" s="63"/>
      <c r="B62" s="63"/>
      <c r="C62" s="55"/>
      <c r="D62" s="56"/>
      <c r="E62" s="29" t="str">
        <f aca="false">IF(C62="","",C62*D62)</f>
        <v/>
      </c>
      <c r="F62" s="29" t="str">
        <f aca="false">IF(E62="","",E62*Assumptions!B17)</f>
        <v/>
      </c>
      <c r="G62" s="26" t="str">
        <f aca="false">IF(E62="","",E62+F62)</f>
        <v/>
      </c>
      <c r="H62" s="57"/>
      <c r="I62" s="26" t="str">
        <f aca="false">IF(G62="","",G62*H62)</f>
        <v/>
      </c>
      <c r="J62" s="63"/>
    </row>
    <row r="63" customFormat="false" ht="18" hidden="false" customHeight="true" outlineLevel="0" collapsed="false">
      <c r="A63" s="20" t="s">
        <v>376</v>
      </c>
      <c r="B63" s="22"/>
      <c r="C63" s="21" t="n">
        <f aca="false">SUM(C58:C62)</f>
        <v>0</v>
      </c>
      <c r="D63" s="22"/>
      <c r="E63" s="32" t="n">
        <f aca="false">SUM(E58:E62)</f>
        <v>0</v>
      </c>
      <c r="F63" s="32" t="n">
        <f aca="false">SUM(F58:F62)</f>
        <v>0</v>
      </c>
      <c r="G63" s="32" t="n">
        <f aca="false">SUM(G58:G62)</f>
        <v>0</v>
      </c>
      <c r="H63" s="22"/>
      <c r="I63" s="32" t="n">
        <f aca="false">SUM(I58:I62)</f>
        <v>0</v>
      </c>
      <c r="J63" s="22"/>
    </row>
    <row r="65" customFormat="false" ht="24" hidden="false" customHeight="true" outlineLevel="0" collapsed="false">
      <c r="A65" s="3" t="s">
        <v>377</v>
      </c>
      <c r="B65" s="3"/>
      <c r="C65" s="3"/>
      <c r="D65" s="3"/>
      <c r="E65" s="3"/>
      <c r="F65" s="3"/>
      <c r="G65" s="3"/>
      <c r="H65" s="3"/>
      <c r="I65" s="3"/>
      <c r="J65" s="3"/>
    </row>
    <row r="66" customFormat="false" ht="30" hidden="false" customHeight="true" outlineLevel="0" collapsed="false">
      <c r="A66" s="4" t="s">
        <v>245</v>
      </c>
      <c r="B66" s="4" t="s">
        <v>378</v>
      </c>
      <c r="C66" s="4" t="s">
        <v>379</v>
      </c>
      <c r="D66" s="4" t="s">
        <v>248</v>
      </c>
      <c r="E66" s="4" t="s">
        <v>249</v>
      </c>
      <c r="F66" s="4" t="s">
        <v>240</v>
      </c>
      <c r="G66" s="4" t="s">
        <v>380</v>
      </c>
      <c r="H66" s="4" t="s">
        <v>381</v>
      </c>
      <c r="I66" s="4" t="s">
        <v>382</v>
      </c>
      <c r="J66" s="4" t="s">
        <v>277</v>
      </c>
    </row>
    <row r="67" customFormat="false" ht="18" hidden="false" customHeight="true" outlineLevel="0" collapsed="false">
      <c r="A67" s="7" t="s">
        <v>253</v>
      </c>
      <c r="B67" s="29" t="n">
        <f aca="false">'Practice Allocations'!E4</f>
        <v>50086.2425</v>
      </c>
      <c r="C67" s="29" t="n">
        <f aca="false">B67*1</f>
        <v>50086.2425</v>
      </c>
      <c r="D67" s="56"/>
      <c r="E67" s="56"/>
      <c r="F67" s="29" t="n">
        <f aca="false">D67+E67</f>
        <v>0</v>
      </c>
      <c r="G67" s="29" t="n">
        <f aca="false">F67</f>
        <v>0</v>
      </c>
      <c r="H67" s="26" t="n">
        <f aca="false">C67-G67</f>
        <v>50086.2425</v>
      </c>
      <c r="I67" s="19" t="n">
        <f aca="false">IF(C67&gt;0,G67/C67,0)</f>
        <v>0</v>
      </c>
      <c r="J67" s="5" t="str">
        <f aca="false">IF(H67&lt;0,"OVERSPEND",IF(I67&gt;0.9,"HIGH","OK"))</f>
        <v>OK</v>
      </c>
    </row>
    <row r="68" customFormat="false" ht="18" hidden="false" customHeight="true" outlineLevel="0" collapsed="false">
      <c r="A68" s="7" t="s">
        <v>254</v>
      </c>
      <c r="B68" s="29" t="n">
        <f aca="false">'Practice Allocations'!E4</f>
        <v>50086.2425</v>
      </c>
      <c r="C68" s="29" t="n">
        <f aca="false">B68*2</f>
        <v>100172.485</v>
      </c>
      <c r="D68" s="56"/>
      <c r="E68" s="56"/>
      <c r="F68" s="29" t="n">
        <f aca="false">D68+E68</f>
        <v>0</v>
      </c>
      <c r="G68" s="29" t="n">
        <f aca="false">G67+F68</f>
        <v>0</v>
      </c>
      <c r="H68" s="26" t="n">
        <f aca="false">C68-G68</f>
        <v>100172.485</v>
      </c>
      <c r="I68" s="19" t="n">
        <f aca="false">IF(C68&gt;0,G68/C68,0)</f>
        <v>0</v>
      </c>
      <c r="J68" s="5" t="str">
        <f aca="false">IF(H68&lt;0,"OVERSPEND",IF(I68&gt;0.9,"HIGH","OK"))</f>
        <v>OK</v>
      </c>
    </row>
    <row r="69" customFormat="false" ht="18" hidden="false" customHeight="true" outlineLevel="0" collapsed="false">
      <c r="A69" s="7" t="s">
        <v>255</v>
      </c>
      <c r="B69" s="29" t="n">
        <f aca="false">'Practice Allocations'!E4</f>
        <v>50086.2425</v>
      </c>
      <c r="C69" s="29" t="n">
        <f aca="false">B69*3</f>
        <v>150258.7275</v>
      </c>
      <c r="D69" s="56"/>
      <c r="E69" s="56"/>
      <c r="F69" s="29" t="n">
        <f aca="false">D69+E69</f>
        <v>0</v>
      </c>
      <c r="G69" s="29" t="n">
        <f aca="false">G68+F69</f>
        <v>0</v>
      </c>
      <c r="H69" s="26" t="n">
        <f aca="false">C69-G69</f>
        <v>150258.7275</v>
      </c>
      <c r="I69" s="19" t="n">
        <f aca="false">IF(C69&gt;0,G69/C69,0)</f>
        <v>0</v>
      </c>
      <c r="J69" s="5" t="str">
        <f aca="false">IF(H69&lt;0,"OVERSPEND",IF(I69&gt;0.9,"HIGH","OK"))</f>
        <v>OK</v>
      </c>
    </row>
    <row r="70" customFormat="false" ht="18" hidden="false" customHeight="true" outlineLevel="0" collapsed="false">
      <c r="A70" s="7" t="s">
        <v>256</v>
      </c>
      <c r="B70" s="29" t="n">
        <f aca="false">'Practice Allocations'!E4</f>
        <v>50086.2425</v>
      </c>
      <c r="C70" s="29" t="n">
        <f aca="false">B70*4</f>
        <v>200344.97</v>
      </c>
      <c r="D70" s="56"/>
      <c r="E70" s="56"/>
      <c r="F70" s="29" t="n">
        <f aca="false">D70+E70</f>
        <v>0</v>
      </c>
      <c r="G70" s="29" t="n">
        <f aca="false">G69+F70</f>
        <v>0</v>
      </c>
      <c r="H70" s="26" t="n">
        <f aca="false">C70-G70</f>
        <v>200344.97</v>
      </c>
      <c r="I70" s="19" t="n">
        <f aca="false">IF(C70&gt;0,G70/C70,0)</f>
        <v>0</v>
      </c>
      <c r="J70" s="5" t="str">
        <f aca="false">IF(H70&lt;0,"OVERSPEND",IF(I70&gt;0.9,"HIGH","OK"))</f>
        <v>OK</v>
      </c>
    </row>
    <row r="71" customFormat="false" ht="18" hidden="false" customHeight="true" outlineLevel="0" collapsed="false">
      <c r="A71" s="7" t="s">
        <v>257</v>
      </c>
      <c r="B71" s="29" t="n">
        <f aca="false">'Practice Allocations'!E4</f>
        <v>50086.2425</v>
      </c>
      <c r="C71" s="29" t="n">
        <f aca="false">B71*5</f>
        <v>250431.2125</v>
      </c>
      <c r="D71" s="56"/>
      <c r="E71" s="56"/>
      <c r="F71" s="29" t="n">
        <f aca="false">D71+E71</f>
        <v>0</v>
      </c>
      <c r="G71" s="29" t="n">
        <f aca="false">G70+F71</f>
        <v>0</v>
      </c>
      <c r="H71" s="26" t="n">
        <f aca="false">C71-G71</f>
        <v>250431.2125</v>
      </c>
      <c r="I71" s="19" t="n">
        <f aca="false">IF(C71&gt;0,G71/C71,0)</f>
        <v>0</v>
      </c>
      <c r="J71" s="5" t="str">
        <f aca="false">IF(H71&lt;0,"OVERSPEND",IF(I71&gt;0.9,"HIGH","OK"))</f>
        <v>OK</v>
      </c>
    </row>
    <row r="72" customFormat="false" ht="18" hidden="false" customHeight="true" outlineLevel="0" collapsed="false">
      <c r="A72" s="7" t="s">
        <v>258</v>
      </c>
      <c r="B72" s="29" t="n">
        <f aca="false">'Practice Allocations'!E4</f>
        <v>50086.2425</v>
      </c>
      <c r="C72" s="29" t="n">
        <f aca="false">B72*6</f>
        <v>300517.455</v>
      </c>
      <c r="D72" s="56"/>
      <c r="E72" s="56"/>
      <c r="F72" s="29" t="n">
        <f aca="false">D72+E72</f>
        <v>0</v>
      </c>
      <c r="G72" s="29" t="n">
        <f aca="false">G71+F72</f>
        <v>0</v>
      </c>
      <c r="H72" s="26" t="n">
        <f aca="false">C72-G72</f>
        <v>300517.455</v>
      </c>
      <c r="I72" s="19" t="n">
        <f aca="false">IF(C72&gt;0,G72/C72,0)</f>
        <v>0</v>
      </c>
      <c r="J72" s="5" t="str">
        <f aca="false">IF(H72&lt;0,"OVERSPEND",IF(I72&gt;0.9,"HIGH","OK"))</f>
        <v>OK</v>
      </c>
    </row>
    <row r="73" customFormat="false" ht="18" hidden="false" customHeight="true" outlineLevel="0" collapsed="false">
      <c r="A73" s="7" t="s">
        <v>259</v>
      </c>
      <c r="B73" s="29" t="n">
        <f aca="false">'Practice Allocations'!E4</f>
        <v>50086.2425</v>
      </c>
      <c r="C73" s="29" t="n">
        <f aca="false">B73*7</f>
        <v>350603.6975</v>
      </c>
      <c r="D73" s="56"/>
      <c r="E73" s="56"/>
      <c r="F73" s="29" t="n">
        <f aca="false">D73+E73</f>
        <v>0</v>
      </c>
      <c r="G73" s="29" t="n">
        <f aca="false">G72+F73</f>
        <v>0</v>
      </c>
      <c r="H73" s="26" t="n">
        <f aca="false">C73-G73</f>
        <v>350603.6975</v>
      </c>
      <c r="I73" s="19" t="n">
        <f aca="false">IF(C73&gt;0,G73/C73,0)</f>
        <v>0</v>
      </c>
      <c r="J73" s="5" t="str">
        <f aca="false">IF(H73&lt;0,"OVERSPEND",IF(I73&gt;0.9,"HIGH","OK"))</f>
        <v>OK</v>
      </c>
    </row>
    <row r="74" customFormat="false" ht="18" hidden="false" customHeight="true" outlineLevel="0" collapsed="false">
      <c r="A74" s="7" t="s">
        <v>260</v>
      </c>
      <c r="B74" s="29" t="n">
        <f aca="false">'Practice Allocations'!E4</f>
        <v>50086.2425</v>
      </c>
      <c r="C74" s="29" t="n">
        <f aca="false">B74*8</f>
        <v>400689.94</v>
      </c>
      <c r="D74" s="56"/>
      <c r="E74" s="56"/>
      <c r="F74" s="29" t="n">
        <f aca="false">D74+E74</f>
        <v>0</v>
      </c>
      <c r="G74" s="29" t="n">
        <f aca="false">G73+F74</f>
        <v>0</v>
      </c>
      <c r="H74" s="26" t="n">
        <f aca="false">C74-G74</f>
        <v>400689.94</v>
      </c>
      <c r="I74" s="19" t="n">
        <f aca="false">IF(C74&gt;0,G74/C74,0)</f>
        <v>0</v>
      </c>
      <c r="J74" s="5" t="str">
        <f aca="false">IF(H74&lt;0,"OVERSPEND",IF(I74&gt;0.9,"HIGH","OK"))</f>
        <v>OK</v>
      </c>
    </row>
    <row r="75" customFormat="false" ht="18" hidden="false" customHeight="true" outlineLevel="0" collapsed="false">
      <c r="A75" s="7" t="s">
        <v>261</v>
      </c>
      <c r="B75" s="29" t="n">
        <f aca="false">'Practice Allocations'!E4</f>
        <v>50086.2425</v>
      </c>
      <c r="C75" s="29" t="n">
        <f aca="false">B75*9</f>
        <v>450776.1825</v>
      </c>
      <c r="D75" s="56"/>
      <c r="E75" s="56"/>
      <c r="F75" s="29" t="n">
        <f aca="false">D75+E75</f>
        <v>0</v>
      </c>
      <c r="G75" s="29" t="n">
        <f aca="false">G74+F75</f>
        <v>0</v>
      </c>
      <c r="H75" s="26" t="n">
        <f aca="false">C75-G75</f>
        <v>450776.1825</v>
      </c>
      <c r="I75" s="19" t="n">
        <f aca="false">IF(C75&gt;0,G75/C75,0)</f>
        <v>0</v>
      </c>
      <c r="J75" s="5" t="str">
        <f aca="false">IF(H75&lt;0,"OVERSPEND",IF(I75&gt;0.9,"HIGH","OK"))</f>
        <v>OK</v>
      </c>
    </row>
    <row r="76" customFormat="false" ht="18" hidden="false" customHeight="true" outlineLevel="0" collapsed="false">
      <c r="A76" s="7" t="s">
        <v>262</v>
      </c>
      <c r="B76" s="29" t="n">
        <f aca="false">'Practice Allocations'!E4</f>
        <v>50086.2425</v>
      </c>
      <c r="C76" s="29" t="n">
        <f aca="false">B76*10</f>
        <v>500862.425</v>
      </c>
      <c r="D76" s="56"/>
      <c r="E76" s="56"/>
      <c r="F76" s="29" t="n">
        <f aca="false">D76+E76</f>
        <v>0</v>
      </c>
      <c r="G76" s="29" t="n">
        <f aca="false">G75+F76</f>
        <v>0</v>
      </c>
      <c r="H76" s="26" t="n">
        <f aca="false">C76-G76</f>
        <v>500862.425</v>
      </c>
      <c r="I76" s="19" t="n">
        <f aca="false">IF(C76&gt;0,G76/C76,0)</f>
        <v>0</v>
      </c>
      <c r="J76" s="5" t="str">
        <f aca="false">IF(H76&lt;0,"OVERSPEND",IF(I76&gt;0.9,"HIGH","OK"))</f>
        <v>OK</v>
      </c>
    </row>
    <row r="77" customFormat="false" ht="18" hidden="false" customHeight="true" outlineLevel="0" collapsed="false">
      <c r="A77" s="7" t="s">
        <v>263</v>
      </c>
      <c r="B77" s="29" t="n">
        <f aca="false">'Practice Allocations'!E4</f>
        <v>50086.2425</v>
      </c>
      <c r="C77" s="29" t="n">
        <f aca="false">B77*11</f>
        <v>550948.6675</v>
      </c>
      <c r="D77" s="56"/>
      <c r="E77" s="56"/>
      <c r="F77" s="29" t="n">
        <f aca="false">D77+E77</f>
        <v>0</v>
      </c>
      <c r="G77" s="29" t="n">
        <f aca="false">G76+F77</f>
        <v>0</v>
      </c>
      <c r="H77" s="26" t="n">
        <f aca="false">C77-G77</f>
        <v>550948.6675</v>
      </c>
      <c r="I77" s="19" t="n">
        <f aca="false">IF(C77&gt;0,G77/C77,0)</f>
        <v>0</v>
      </c>
      <c r="J77" s="5" t="str">
        <f aca="false">IF(H77&lt;0,"OVERSPEND",IF(I77&gt;0.9,"HIGH","OK"))</f>
        <v>OK</v>
      </c>
    </row>
    <row r="78" customFormat="false" ht="18" hidden="false" customHeight="true" outlineLevel="0" collapsed="false">
      <c r="A78" s="7" t="s">
        <v>264</v>
      </c>
      <c r="B78" s="29" t="n">
        <f aca="false">'Practice Allocations'!E4</f>
        <v>50086.2425</v>
      </c>
      <c r="C78" s="29" t="n">
        <f aca="false">B78*12</f>
        <v>601034.91</v>
      </c>
      <c r="D78" s="56"/>
      <c r="E78" s="56"/>
      <c r="F78" s="29" t="n">
        <f aca="false">D78+E78</f>
        <v>0</v>
      </c>
      <c r="G78" s="29" t="n">
        <f aca="false">G77+F78</f>
        <v>0</v>
      </c>
      <c r="H78" s="26" t="n">
        <f aca="false">C78-G78</f>
        <v>601034.91</v>
      </c>
      <c r="I78" s="19" t="n">
        <f aca="false">IF(C78&gt;0,G78/C78,0)</f>
        <v>0</v>
      </c>
      <c r="J78" s="5" t="str">
        <f aca="false">IF(H78&lt;0,"OVERSPEND",IF(I78&gt;0.9,"HIGH","OK"))</f>
        <v>OK</v>
      </c>
    </row>
    <row r="79" customFormat="false" ht="18" hidden="false" customHeight="true" outlineLevel="0" collapsed="false">
      <c r="A79" s="20" t="s">
        <v>383</v>
      </c>
      <c r="B79" s="32" t="n">
        <f aca="false">SUM(B67:B78)</f>
        <v>601034.91</v>
      </c>
      <c r="C79" s="32" t="n">
        <f aca="false">C78</f>
        <v>601034.91</v>
      </c>
      <c r="D79" s="32" t="n">
        <f aca="false">SUM(D67:D78)</f>
        <v>0</v>
      </c>
      <c r="E79" s="32" t="n">
        <f aca="false">SUM(E67:E78)</f>
        <v>0</v>
      </c>
      <c r="F79" s="32" t="n">
        <f aca="false">SUM(F67:F78)</f>
        <v>0</v>
      </c>
      <c r="G79" s="32" t="n">
        <f aca="false">G78</f>
        <v>0</v>
      </c>
      <c r="H79" s="32" t="n">
        <f aca="false">H78</f>
        <v>601034.91</v>
      </c>
      <c r="I79" s="23" t="n">
        <f aca="false">I78</f>
        <v>0</v>
      </c>
      <c r="J79" s="22"/>
    </row>
    <row r="81" customFormat="false" ht="24" hidden="false" customHeight="true" outlineLevel="0" collapsed="false">
      <c r="A81" s="3" t="s">
        <v>384</v>
      </c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8" hidden="false" customHeight="true" outlineLevel="0" collapsed="false">
      <c r="A82" s="5" t="s">
        <v>385</v>
      </c>
      <c r="B82" s="30" t="n">
        <f aca="false">F22</f>
        <v>18932.7138</v>
      </c>
    </row>
    <row r="83" customFormat="false" ht="18" hidden="false" customHeight="true" outlineLevel="0" collapsed="false">
      <c r="A83" s="5" t="s">
        <v>386</v>
      </c>
      <c r="B83" s="30" t="n">
        <f aca="false">F39</f>
        <v>0</v>
      </c>
    </row>
    <row r="84" customFormat="false" ht="18" hidden="false" customHeight="true" outlineLevel="0" collapsed="false">
      <c r="A84" s="5" t="s">
        <v>387</v>
      </c>
      <c r="B84" s="52" t="n">
        <f aca="false">IF(B82&gt;0,B83/B82,0)</f>
        <v>0</v>
      </c>
    </row>
    <row r="85" customFormat="false" ht="18" hidden="false" customHeight="true" outlineLevel="0" collapsed="false">
      <c r="A85" s="5" t="s">
        <v>388</v>
      </c>
      <c r="B85" s="30" t="n">
        <f aca="false">IF(COUNTA(F26:F38)&gt;0,AVERAGE(F26:F38),0)</f>
        <v>0</v>
      </c>
    </row>
    <row r="86" customFormat="false" ht="18" hidden="false" customHeight="true" outlineLevel="0" collapsed="false">
      <c r="A86" s="5" t="s">
        <v>389</v>
      </c>
      <c r="B86" s="30" t="n">
        <f aca="false">C20</f>
        <v>346.9704</v>
      </c>
    </row>
    <row r="87" customFormat="false" ht="18" hidden="false" customHeight="true" outlineLevel="0" collapsed="false">
      <c r="A87" s="5" t="s">
        <v>390</v>
      </c>
      <c r="B87" s="30" t="n">
        <f aca="false">B85-B86</f>
        <v>-346.9704</v>
      </c>
    </row>
    <row r="88" customFormat="false" ht="18" hidden="false" customHeight="true" outlineLevel="0" collapsed="false">
      <c r="A88" s="5" t="s">
        <v>391</v>
      </c>
      <c r="B88" s="52" t="n">
        <f aca="false">IF(F39&gt;0,E39/F39,0)</f>
        <v>0</v>
      </c>
    </row>
    <row r="89" customFormat="false" ht="18" hidden="false" customHeight="true" outlineLevel="0" collapsed="false">
      <c r="A89" s="5" t="s">
        <v>392</v>
      </c>
      <c r="B89" s="30" t="str">
        <f aca="false">IF(B90&gt;=0.5,"YES — Compliant","NO — Below 50%")</f>
        <v>NO — Below 50%</v>
      </c>
    </row>
    <row r="90" customFormat="false" ht="18" hidden="false" customHeight="true" outlineLevel="0" collapsed="false">
      <c r="A90" s="5" t="s">
        <v>393</v>
      </c>
      <c r="B90" s="26" t="n">
        <f aca="false">J54</f>
        <v>0</v>
      </c>
    </row>
    <row r="91" customFormat="false" ht="18" hidden="false" customHeight="true" outlineLevel="0" collapsed="false">
      <c r="A91" s="5" t="s">
        <v>394</v>
      </c>
      <c r="B91" s="26" t="n">
        <f aca="false">I63</f>
        <v>0</v>
      </c>
    </row>
    <row r="92" customFormat="false" ht="18" hidden="false" customHeight="true" outlineLevel="0" collapsed="false">
      <c r="A92" s="5" t="s">
        <v>395</v>
      </c>
      <c r="B92" s="26" t="n">
        <f aca="false">B90+B91</f>
        <v>0</v>
      </c>
    </row>
    <row r="93" customFormat="false" ht="18" hidden="false" customHeight="true" outlineLevel="0" collapsed="false">
      <c r="A93" s="5" t="s">
        <v>396</v>
      </c>
      <c r="B93" s="26" t="n">
        <f aca="false">'Practice Allocations'!D4-B94</f>
        <v>601034.91</v>
      </c>
    </row>
    <row r="95" customFormat="false" ht="24" hidden="false" customHeight="true" outlineLevel="0" collapsed="false">
      <c r="A95" s="3" t="s">
        <v>397</v>
      </c>
      <c r="B95" s="3"/>
      <c r="C95" s="3"/>
      <c r="D95" s="3"/>
      <c r="E95" s="3"/>
      <c r="F95" s="3"/>
      <c r="G95" s="3"/>
      <c r="H95" s="3"/>
      <c r="I95" s="3"/>
      <c r="J95" s="3"/>
    </row>
    <row r="96" customFormat="false" ht="30" hidden="false" customHeight="true" outlineLevel="0" collapsed="false">
      <c r="A96" s="4" t="s">
        <v>398</v>
      </c>
      <c r="B96" s="4" t="s">
        <v>208</v>
      </c>
      <c r="C96" s="4" t="s">
        <v>399</v>
      </c>
      <c r="D96" s="4" t="s">
        <v>400</v>
      </c>
      <c r="E96" s="4" t="s">
        <v>401</v>
      </c>
      <c r="F96" s="4" t="s">
        <v>205</v>
      </c>
      <c r="G96" s="4" t="s">
        <v>402</v>
      </c>
      <c r="H96" s="4"/>
      <c r="I96" s="4"/>
      <c r="J96" s="4"/>
    </row>
    <row r="97" customFormat="false" ht="18" hidden="false" customHeight="true" outlineLevel="0" collapsed="false">
      <c r="A97" s="63"/>
      <c r="B97" s="63"/>
      <c r="C97" s="63"/>
      <c r="D97" s="56"/>
      <c r="E97" s="63"/>
      <c r="F97" s="63"/>
      <c r="G97" s="63"/>
      <c r="H97" s="7"/>
      <c r="I97" s="7"/>
      <c r="J97" s="7"/>
    </row>
    <row r="98" customFormat="false" ht="18" hidden="false" customHeight="true" outlineLevel="0" collapsed="false">
      <c r="A98" s="63"/>
      <c r="B98" s="63"/>
      <c r="C98" s="63"/>
      <c r="D98" s="56"/>
      <c r="E98" s="63"/>
      <c r="F98" s="63"/>
      <c r="G98" s="63"/>
      <c r="H98" s="49"/>
      <c r="I98" s="49"/>
      <c r="J98" s="49"/>
    </row>
    <row r="99" customFormat="false" ht="18" hidden="false" customHeight="true" outlineLevel="0" collapsed="false">
      <c r="A99" s="63"/>
      <c r="B99" s="63"/>
      <c r="C99" s="63"/>
      <c r="D99" s="56"/>
      <c r="E99" s="63"/>
      <c r="F99" s="63"/>
      <c r="G99" s="63"/>
      <c r="H99" s="7"/>
      <c r="I99" s="7"/>
      <c r="J99" s="7"/>
    </row>
    <row r="100" customFormat="false" ht="18" hidden="false" customHeight="true" outlineLevel="0" collapsed="false">
      <c r="A100" s="63"/>
      <c r="B100" s="63"/>
      <c r="C100" s="63"/>
      <c r="D100" s="56"/>
      <c r="E100" s="63"/>
      <c r="F100" s="63"/>
      <c r="G100" s="63"/>
      <c r="H100" s="49"/>
      <c r="I100" s="49"/>
      <c r="J100" s="49"/>
    </row>
    <row r="101" customFormat="false" ht="18" hidden="false" customHeight="true" outlineLevel="0" collapsed="false">
      <c r="A101" s="63"/>
      <c r="B101" s="63"/>
      <c r="C101" s="63"/>
      <c r="D101" s="56"/>
      <c r="E101" s="63"/>
      <c r="F101" s="63"/>
      <c r="G101" s="63"/>
      <c r="H101" s="7"/>
      <c r="I101" s="7"/>
      <c r="J101" s="7"/>
    </row>
    <row r="103" customFormat="false" ht="24" hidden="false" customHeight="true" outlineLevel="0" collapsed="false">
      <c r="A103" s="3" t="s">
        <v>403</v>
      </c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30" hidden="false" customHeight="true" outlineLevel="0" collapsed="false">
      <c r="A104" s="4" t="s">
        <v>336</v>
      </c>
      <c r="B104" s="4" t="s">
        <v>404</v>
      </c>
      <c r="C104" s="4" t="s">
        <v>405</v>
      </c>
      <c r="D104" s="4" t="s">
        <v>205</v>
      </c>
      <c r="E104" s="4" t="s">
        <v>406</v>
      </c>
      <c r="F104" s="4"/>
      <c r="G104" s="4"/>
      <c r="H104" s="4"/>
      <c r="I104" s="4"/>
      <c r="J104" s="4"/>
    </row>
    <row r="105" customFormat="false" ht="18" hidden="false" customHeight="true" outlineLevel="0" collapsed="false">
      <c r="A105" s="78"/>
      <c r="B105" s="63"/>
      <c r="C105" s="63"/>
      <c r="D105" s="63"/>
      <c r="E105" s="78"/>
      <c r="F105" s="7"/>
      <c r="G105" s="7"/>
      <c r="H105" s="7"/>
      <c r="I105" s="7"/>
      <c r="J105" s="7"/>
    </row>
    <row r="106" customFormat="false" ht="18" hidden="false" customHeight="true" outlineLevel="0" collapsed="false">
      <c r="A106" s="78"/>
      <c r="B106" s="63"/>
      <c r="C106" s="63"/>
      <c r="D106" s="63"/>
      <c r="E106" s="78"/>
      <c r="F106" s="49"/>
      <c r="G106" s="49"/>
      <c r="H106" s="49"/>
      <c r="I106" s="49"/>
      <c r="J106" s="49"/>
    </row>
    <row r="107" customFormat="false" ht="18" hidden="false" customHeight="true" outlineLevel="0" collapsed="false">
      <c r="A107" s="78"/>
      <c r="B107" s="63"/>
      <c r="C107" s="63"/>
      <c r="D107" s="63"/>
      <c r="E107" s="78"/>
      <c r="F107" s="7"/>
      <c r="G107" s="7"/>
      <c r="H107" s="7"/>
      <c r="I107" s="7"/>
      <c r="J107" s="7"/>
    </row>
    <row r="108" customFormat="false" ht="18" hidden="false" customHeight="true" outlineLevel="0" collapsed="false">
      <c r="A108" s="78"/>
      <c r="B108" s="63"/>
      <c r="C108" s="63"/>
      <c r="D108" s="63"/>
      <c r="E108" s="78"/>
      <c r="F108" s="49"/>
      <c r="G108" s="49"/>
      <c r="H108" s="49"/>
      <c r="I108" s="49"/>
      <c r="J108" s="49"/>
    </row>
    <row r="109" customFormat="false" ht="18" hidden="false" customHeight="true" outlineLevel="0" collapsed="false">
      <c r="A109" s="78"/>
      <c r="B109" s="63"/>
      <c r="C109" s="63"/>
      <c r="D109" s="63"/>
      <c r="E109" s="78"/>
      <c r="F109" s="7"/>
      <c r="G109" s="7"/>
      <c r="H109" s="7"/>
      <c r="I109" s="7"/>
      <c r="J109" s="7"/>
    </row>
    <row r="110" customFormat="false" ht="18" hidden="false" customHeight="true" outlineLevel="0" collapsed="false">
      <c r="A110" s="78"/>
      <c r="B110" s="63"/>
      <c r="C110" s="63"/>
      <c r="D110" s="63"/>
      <c r="E110" s="78"/>
      <c r="F110" s="49"/>
      <c r="G110" s="49"/>
      <c r="H110" s="49"/>
      <c r="I110" s="49"/>
      <c r="J110" s="49"/>
    </row>
    <row r="111" customFormat="false" ht="18" hidden="false" customHeight="true" outlineLevel="0" collapsed="false">
      <c r="A111" s="78"/>
      <c r="B111" s="63"/>
      <c r="C111" s="63"/>
      <c r="D111" s="63"/>
      <c r="E111" s="78"/>
      <c r="F111" s="7"/>
      <c r="G111" s="7"/>
      <c r="H111" s="7"/>
      <c r="I111" s="7"/>
      <c r="J111" s="7"/>
    </row>
    <row r="112" customFormat="false" ht="18" hidden="false" customHeight="true" outlineLevel="0" collapsed="false">
      <c r="A112" s="78"/>
      <c r="B112" s="63"/>
      <c r="C112" s="63"/>
      <c r="D112" s="63"/>
      <c r="E112" s="78"/>
      <c r="F112" s="49"/>
      <c r="G112" s="49"/>
      <c r="H112" s="49"/>
      <c r="I112" s="49"/>
      <c r="J112" s="49"/>
    </row>
    <row r="113" customFormat="false" ht="18" hidden="false" customHeight="true" outlineLevel="0" collapsed="false">
      <c r="A113" s="78"/>
      <c r="B113" s="63"/>
      <c r="C113" s="63"/>
      <c r="D113" s="63"/>
      <c r="E113" s="78"/>
      <c r="F113" s="7"/>
      <c r="G113" s="7"/>
      <c r="H113" s="7"/>
      <c r="I113" s="7"/>
      <c r="J113" s="7"/>
    </row>
    <row r="114" customFormat="false" ht="18" hidden="false" customHeight="true" outlineLevel="0" collapsed="false">
      <c r="A114" s="78"/>
      <c r="B114" s="63"/>
      <c r="C114" s="63"/>
      <c r="D114" s="63"/>
      <c r="E114" s="78"/>
      <c r="F114" s="49"/>
      <c r="G114" s="49"/>
      <c r="H114" s="49"/>
      <c r="I114" s="49"/>
      <c r="J114" s="49"/>
    </row>
  </sheetData>
  <mergeCells count="12">
    <mergeCell ref="A1:J1"/>
    <mergeCell ref="A2:J2"/>
    <mergeCell ref="A4:J4"/>
    <mergeCell ref="A11:J11"/>
    <mergeCell ref="A18:J18"/>
    <mergeCell ref="A24:J24"/>
    <mergeCell ref="A42:J42"/>
    <mergeCell ref="A56:J56"/>
    <mergeCell ref="A65:J65"/>
    <mergeCell ref="A81:J81"/>
    <mergeCell ref="A95:J95"/>
    <mergeCell ref="A103:J103"/>
  </mergeCells>
  <dataValidations count="4">
    <dataValidation allowBlank="true" errorStyle="stop" operator="between" showDropDown="false" showErrorMessage="false" showInputMessage="false" sqref="C44:C53" type="list">
      <formula1>"New SDA,Buy-Back,Existing (Buy-Back Pending)"</formula1>
      <formula2>0</formula2>
    </dataValidation>
    <dataValidation allowBlank="true" errorStyle="stop" operator="between" showDropDown="false" showErrorMessage="false" showInputMessage="false" sqref="J58:J62" type="list">
      <formula1>"Draft,Submitted,Under Review,Approved,Rejected"</formula1>
      <formula2>0</formula2>
    </dataValidation>
    <dataValidation allowBlank="true" errorStyle="stop" operator="between" showDropDown="false" showErrorMessage="false" showInputMessage="false" sqref="F97:F101" type="list">
      <formula1>"Planned,Recruiting,In Post,Delayed,Not Started"</formula1>
      <formula2>0</formula2>
    </dataValidation>
    <dataValidation allowBlank="true" errorStyle="stop" operator="between" showDropDown="false" showErrorMessage="false" showInputMessage="false" sqref="D105:D114" type="list">
      <formula1>"Open,In Progress,Complete,On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407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345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A5" s="5" t="s">
        <v>109</v>
      </c>
      <c r="B5" s="5" t="str">
        <f aca="false">Assumptions!A30</f>
        <v>Brackley MC</v>
      </c>
    </row>
    <row r="6" customFormat="false" ht="18" hidden="false" customHeight="true" outlineLevel="0" collapsed="false">
      <c r="A6" s="5" t="s">
        <v>55</v>
      </c>
      <c r="B6" s="51" t="n">
        <f aca="false">Assumptions!B30</f>
        <v>16212</v>
      </c>
    </row>
    <row r="7" customFormat="false" ht="18" hidden="false" customHeight="true" outlineLevel="0" collapsed="false">
      <c r="A7" s="5" t="s">
        <v>346</v>
      </c>
      <c r="B7" s="5" t="s">
        <v>60</v>
      </c>
    </row>
    <row r="8" customFormat="false" ht="18" hidden="false" customHeight="true" outlineLevel="0" collapsed="false">
      <c r="A8" s="5" t="s">
        <v>57</v>
      </c>
      <c r="B8" s="5" t="s">
        <v>61</v>
      </c>
    </row>
    <row r="9" customFormat="false" ht="18" hidden="false" customHeight="true" outlineLevel="0" collapsed="false">
      <c r="A9" s="5" t="s">
        <v>347</v>
      </c>
      <c r="B9" s="52" t="n">
        <f aca="false">Assumptions!E30</f>
        <v>0.180969816038578</v>
      </c>
    </row>
    <row r="11" customFormat="false" ht="24" hidden="false" customHeight="true" outlineLevel="0" collapsed="false">
      <c r="A11" s="3" t="s">
        <v>348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4" t="s">
        <v>183</v>
      </c>
      <c r="B12" s="4" t="s">
        <v>4</v>
      </c>
      <c r="C12" s="4"/>
      <c r="D12" s="4"/>
      <c r="E12" s="4"/>
      <c r="F12" s="4"/>
      <c r="G12" s="4"/>
      <c r="H12" s="4"/>
      <c r="I12" s="4"/>
      <c r="J12" s="4"/>
    </row>
    <row r="13" customFormat="false" ht="18" hidden="false" customHeight="true" outlineLevel="0" collapsed="false">
      <c r="A13" s="5" t="s">
        <v>349</v>
      </c>
      <c r="B13" s="26" t="n">
        <f aca="false">'Practice Allocations'!D5</f>
        <v>426861.96</v>
      </c>
    </row>
    <row r="14" customFormat="false" ht="18" hidden="false" customHeight="true" outlineLevel="0" collapsed="false">
      <c r="A14" s="5" t="s">
        <v>350</v>
      </c>
      <c r="B14" s="26" t="n">
        <f aca="false">'Practice Allocations'!E5</f>
        <v>35571.83</v>
      </c>
    </row>
    <row r="15" customFormat="false" ht="18" hidden="false" customHeight="true" outlineLevel="0" collapsed="false">
      <c r="A15" s="5" t="s">
        <v>351</v>
      </c>
      <c r="B15" s="26" t="n">
        <f aca="false">'Practice Allocations'!F5</f>
        <v>320146.47</v>
      </c>
    </row>
    <row r="16" customFormat="false" ht="18" hidden="false" customHeight="true" outlineLevel="0" collapsed="false">
      <c r="A16" s="5" t="s">
        <v>352</v>
      </c>
      <c r="B16" s="26" t="n">
        <f aca="false">'Practice Allocations'!D5*Assumptions!B16</f>
        <v>106715.49</v>
      </c>
    </row>
    <row r="18" customFormat="false" ht="24" hidden="false" customHeight="true" outlineLevel="0" collapsed="false">
      <c r="A18" s="3" t="s">
        <v>353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30" hidden="false" customHeight="true" outlineLevel="0" collapsed="false">
      <c r="A19" s="4" t="s">
        <v>274</v>
      </c>
      <c r="B19" s="4" t="s">
        <v>354</v>
      </c>
      <c r="C19" s="4" t="s">
        <v>355</v>
      </c>
      <c r="D19" s="4" t="s">
        <v>102</v>
      </c>
      <c r="E19" s="4" t="s">
        <v>103</v>
      </c>
      <c r="F19" s="4" t="s">
        <v>356</v>
      </c>
      <c r="G19" s="4"/>
      <c r="H19" s="4"/>
      <c r="I19" s="4"/>
      <c r="J19" s="4"/>
    </row>
    <row r="20" customFormat="false" ht="18" hidden="false" customHeight="true" outlineLevel="0" collapsed="false">
      <c r="A20" s="71" t="s">
        <v>170</v>
      </c>
      <c r="B20" s="65" t="n">
        <f aca="false">Assumptions!B10</f>
        <v>39</v>
      </c>
      <c r="C20" s="72" t="n">
        <f aca="false">'Practice Allocations'!G5</f>
        <v>246.4224</v>
      </c>
      <c r="D20" s="73" t="n">
        <f aca="false">'Practice Allocations'!H5</f>
        <v>123.2112</v>
      </c>
      <c r="E20" s="73" t="n">
        <f aca="false">'Practice Allocations'!I5</f>
        <v>123.2112</v>
      </c>
      <c r="F20" s="74" t="n">
        <f aca="false">B20*C20</f>
        <v>9610.4736</v>
      </c>
    </row>
    <row r="21" customFormat="false" ht="18" hidden="false" customHeight="true" outlineLevel="0" collapsed="false">
      <c r="A21" s="47" t="s">
        <v>278</v>
      </c>
      <c r="B21" s="75" t="n">
        <f aca="false">Assumptions!B11</f>
        <v>13</v>
      </c>
      <c r="C21" s="76" t="n">
        <f aca="false">'Practice Allocations'!J5</f>
        <v>295.0584</v>
      </c>
      <c r="D21" s="77" t="n">
        <f aca="false">'Practice Allocations'!K5</f>
        <v>147.5292</v>
      </c>
      <c r="E21" s="77" t="n">
        <f aca="false">'Practice Allocations'!L5</f>
        <v>147.5292</v>
      </c>
      <c r="F21" s="48" t="n">
        <f aca="false">B21*C21</f>
        <v>3835.7592</v>
      </c>
    </row>
    <row r="22" customFormat="false" ht="18" hidden="false" customHeight="true" outlineLevel="0" collapsed="false">
      <c r="A22" s="20" t="s">
        <v>265</v>
      </c>
      <c r="B22" s="21" t="n">
        <f aca="false">B20+B21</f>
        <v>52</v>
      </c>
      <c r="C22" s="22"/>
      <c r="D22" s="22"/>
      <c r="E22" s="22"/>
      <c r="F22" s="21" t="n">
        <f aca="false">'Practice Allocations'!M5</f>
        <v>13446.2328</v>
      </c>
    </row>
    <row r="24" customFormat="false" ht="24" hidden="false" customHeight="true" outlineLevel="0" collapsed="false">
      <c r="A24" s="3" t="s">
        <v>357</v>
      </c>
      <c r="B24" s="3"/>
      <c r="C24" s="3"/>
      <c r="D24" s="3"/>
      <c r="E24" s="3"/>
      <c r="F24" s="3"/>
      <c r="G24" s="3"/>
      <c r="H24" s="3"/>
      <c r="I24" s="3"/>
      <c r="J24" s="3"/>
    </row>
    <row r="25" customFormat="false" ht="30" hidden="false" customHeight="true" outlineLevel="0" collapsed="false">
      <c r="A25" s="4" t="s">
        <v>273</v>
      </c>
      <c r="B25" s="4" t="s">
        <v>274</v>
      </c>
      <c r="C25" s="4" t="s">
        <v>358</v>
      </c>
      <c r="D25" s="4" t="s">
        <v>359</v>
      </c>
      <c r="E25" s="4" t="s">
        <v>360</v>
      </c>
      <c r="F25" s="4" t="s">
        <v>275</v>
      </c>
      <c r="G25" s="4" t="s">
        <v>112</v>
      </c>
      <c r="H25" s="4" t="s">
        <v>361</v>
      </c>
      <c r="I25" s="4" t="s">
        <v>362</v>
      </c>
      <c r="J25" s="4" t="s">
        <v>363</v>
      </c>
    </row>
    <row r="26" customFormat="false" ht="18" hidden="false" customHeight="true" outlineLevel="0" collapsed="false">
      <c r="A26" s="18" t="n">
        <v>1</v>
      </c>
      <c r="B26" s="61" t="s">
        <v>170</v>
      </c>
      <c r="C26" s="31" t="n">
        <f aca="false">C20</f>
        <v>246.4224</v>
      </c>
      <c r="D26" s="55"/>
      <c r="E26" s="55"/>
      <c r="F26" s="51" t="n">
        <f aca="false">D26+E26</f>
        <v>0</v>
      </c>
      <c r="G26" s="31" t="n">
        <f aca="false">F26-C26</f>
        <v>-246.4224</v>
      </c>
      <c r="H26" s="19" t="n">
        <f aca="false">IF(C26&gt;0,F26/C26,0)</f>
        <v>0</v>
      </c>
      <c r="I26" s="55"/>
      <c r="J26" s="55"/>
    </row>
    <row r="27" customFormat="false" ht="18" hidden="false" customHeight="true" outlineLevel="0" collapsed="false">
      <c r="A27" s="18" t="n">
        <v>2</v>
      </c>
      <c r="B27" s="61" t="s">
        <v>170</v>
      </c>
      <c r="C27" s="31" t="n">
        <f aca="false">C20</f>
        <v>246.4224</v>
      </c>
      <c r="D27" s="55"/>
      <c r="E27" s="55"/>
      <c r="F27" s="51" t="n">
        <f aca="false">D27+E27</f>
        <v>0</v>
      </c>
      <c r="G27" s="31" t="n">
        <f aca="false">F27-C27</f>
        <v>-246.4224</v>
      </c>
      <c r="H27" s="19" t="n">
        <f aca="false">IF(C27&gt;0,F27/C27,0)</f>
        <v>0</v>
      </c>
      <c r="I27" s="55"/>
      <c r="J27" s="55"/>
    </row>
    <row r="28" customFormat="false" ht="18" hidden="false" customHeight="true" outlineLevel="0" collapsed="false">
      <c r="A28" s="18" t="n">
        <v>3</v>
      </c>
      <c r="B28" s="61" t="s">
        <v>170</v>
      </c>
      <c r="C28" s="31" t="n">
        <f aca="false">C20</f>
        <v>246.4224</v>
      </c>
      <c r="D28" s="55"/>
      <c r="E28" s="55"/>
      <c r="F28" s="51" t="n">
        <f aca="false">D28+E28</f>
        <v>0</v>
      </c>
      <c r="G28" s="31" t="n">
        <f aca="false">F28-C28</f>
        <v>-246.4224</v>
      </c>
      <c r="H28" s="19" t="n">
        <f aca="false">IF(C28&gt;0,F28/C28,0)</f>
        <v>0</v>
      </c>
      <c r="I28" s="55"/>
      <c r="J28" s="55"/>
    </row>
    <row r="29" customFormat="false" ht="18" hidden="false" customHeight="true" outlineLevel="0" collapsed="false">
      <c r="A29" s="18" t="n">
        <v>4</v>
      </c>
      <c r="B29" s="61" t="s">
        <v>170</v>
      </c>
      <c r="C29" s="31" t="n">
        <f aca="false">C20</f>
        <v>246.4224</v>
      </c>
      <c r="D29" s="55"/>
      <c r="E29" s="55"/>
      <c r="F29" s="51" t="n">
        <f aca="false">D29+E29</f>
        <v>0</v>
      </c>
      <c r="G29" s="31" t="n">
        <f aca="false">F29-C29</f>
        <v>-246.4224</v>
      </c>
      <c r="H29" s="19" t="n">
        <f aca="false">IF(C29&gt;0,F29/C29,0)</f>
        <v>0</v>
      </c>
      <c r="I29" s="55"/>
      <c r="J29" s="55"/>
    </row>
    <row r="30" customFormat="false" ht="18" hidden="false" customHeight="true" outlineLevel="0" collapsed="false">
      <c r="A30" s="18" t="n">
        <v>5</v>
      </c>
      <c r="B30" s="61" t="s">
        <v>170</v>
      </c>
      <c r="C30" s="31" t="n">
        <f aca="false">C20</f>
        <v>246.4224</v>
      </c>
      <c r="D30" s="55"/>
      <c r="E30" s="55"/>
      <c r="F30" s="51" t="n">
        <f aca="false">D30+E30</f>
        <v>0</v>
      </c>
      <c r="G30" s="31" t="n">
        <f aca="false">F30-C30</f>
        <v>-246.4224</v>
      </c>
      <c r="H30" s="19" t="n">
        <f aca="false">IF(C30&gt;0,F30/C30,0)</f>
        <v>0</v>
      </c>
      <c r="I30" s="55"/>
      <c r="J30" s="55"/>
    </row>
    <row r="31" customFormat="false" ht="18" hidden="false" customHeight="true" outlineLevel="0" collapsed="false">
      <c r="A31" s="18" t="n">
        <v>6</v>
      </c>
      <c r="B31" s="61" t="s">
        <v>170</v>
      </c>
      <c r="C31" s="31" t="n">
        <f aca="false">C20</f>
        <v>246.4224</v>
      </c>
      <c r="D31" s="55"/>
      <c r="E31" s="55"/>
      <c r="F31" s="51" t="n">
        <f aca="false">D31+E31</f>
        <v>0</v>
      </c>
      <c r="G31" s="31" t="n">
        <f aca="false">F31-C31</f>
        <v>-246.4224</v>
      </c>
      <c r="H31" s="19" t="n">
        <f aca="false">IF(C31&gt;0,F31/C31,0)</f>
        <v>0</v>
      </c>
      <c r="I31" s="55"/>
      <c r="J31" s="55"/>
    </row>
    <row r="32" customFormat="false" ht="18" hidden="false" customHeight="true" outlineLevel="0" collapsed="false">
      <c r="A32" s="18" t="n">
        <v>7</v>
      </c>
      <c r="B32" s="61" t="s">
        <v>170</v>
      </c>
      <c r="C32" s="31" t="n">
        <f aca="false">C20</f>
        <v>246.4224</v>
      </c>
      <c r="D32" s="55"/>
      <c r="E32" s="55"/>
      <c r="F32" s="51" t="n">
        <f aca="false">D32+E32</f>
        <v>0</v>
      </c>
      <c r="G32" s="31" t="n">
        <f aca="false">F32-C32</f>
        <v>-246.4224</v>
      </c>
      <c r="H32" s="19" t="n">
        <f aca="false">IF(C32&gt;0,F32/C32,0)</f>
        <v>0</v>
      </c>
      <c r="I32" s="55"/>
      <c r="J32" s="55"/>
    </row>
    <row r="33" customFormat="false" ht="18" hidden="false" customHeight="true" outlineLevel="0" collapsed="false">
      <c r="A33" s="18" t="n">
        <v>8</v>
      </c>
      <c r="B33" s="61" t="s">
        <v>170</v>
      </c>
      <c r="C33" s="31" t="n">
        <f aca="false">C20</f>
        <v>246.4224</v>
      </c>
      <c r="D33" s="55"/>
      <c r="E33" s="55"/>
      <c r="F33" s="51" t="n">
        <f aca="false">D33+E33</f>
        <v>0</v>
      </c>
      <c r="G33" s="31" t="n">
        <f aca="false">F33-C33</f>
        <v>-246.4224</v>
      </c>
      <c r="H33" s="19" t="n">
        <f aca="false">IF(C33&gt;0,F33/C33,0)</f>
        <v>0</v>
      </c>
      <c r="I33" s="55"/>
      <c r="J33" s="55"/>
    </row>
    <row r="34" customFormat="false" ht="18" hidden="false" customHeight="true" outlineLevel="0" collapsed="false">
      <c r="A34" s="18" t="n">
        <v>9</v>
      </c>
      <c r="B34" s="61" t="s">
        <v>170</v>
      </c>
      <c r="C34" s="31" t="n">
        <f aca="false">C20</f>
        <v>246.4224</v>
      </c>
      <c r="D34" s="55"/>
      <c r="E34" s="55"/>
      <c r="F34" s="51" t="n">
        <f aca="false">D34+E34</f>
        <v>0</v>
      </c>
      <c r="G34" s="31" t="n">
        <f aca="false">F34-C34</f>
        <v>-246.4224</v>
      </c>
      <c r="H34" s="19" t="n">
        <f aca="false">IF(C34&gt;0,F34/C34,0)</f>
        <v>0</v>
      </c>
      <c r="I34" s="55"/>
      <c r="J34" s="55"/>
    </row>
    <row r="35" customFormat="false" ht="18" hidden="false" customHeight="true" outlineLevel="0" collapsed="false">
      <c r="A35" s="18" t="n">
        <v>10</v>
      </c>
      <c r="B35" s="61" t="s">
        <v>170</v>
      </c>
      <c r="C35" s="31" t="n">
        <f aca="false">C20</f>
        <v>246.4224</v>
      </c>
      <c r="D35" s="55"/>
      <c r="E35" s="55"/>
      <c r="F35" s="51" t="n">
        <f aca="false">D35+E35</f>
        <v>0</v>
      </c>
      <c r="G35" s="31" t="n">
        <f aca="false">F35-C35</f>
        <v>-246.4224</v>
      </c>
      <c r="H35" s="19" t="n">
        <f aca="false">IF(C35&gt;0,F35/C35,0)</f>
        <v>0</v>
      </c>
      <c r="I35" s="55"/>
      <c r="J35" s="55"/>
    </row>
    <row r="36" customFormat="false" ht="18" hidden="false" customHeight="true" outlineLevel="0" collapsed="false">
      <c r="A36" s="18" t="n">
        <v>11</v>
      </c>
      <c r="B36" s="61" t="s">
        <v>170</v>
      </c>
      <c r="C36" s="31" t="n">
        <f aca="false">C20</f>
        <v>246.4224</v>
      </c>
      <c r="D36" s="55"/>
      <c r="E36" s="55"/>
      <c r="F36" s="51" t="n">
        <f aca="false">D36+E36</f>
        <v>0</v>
      </c>
      <c r="G36" s="31" t="n">
        <f aca="false">F36-C36</f>
        <v>-246.4224</v>
      </c>
      <c r="H36" s="19" t="n">
        <f aca="false">IF(C36&gt;0,F36/C36,0)</f>
        <v>0</v>
      </c>
      <c r="I36" s="55"/>
      <c r="J36" s="55"/>
    </row>
    <row r="37" customFormat="false" ht="18" hidden="false" customHeight="true" outlineLevel="0" collapsed="false">
      <c r="A37" s="18" t="n">
        <v>12</v>
      </c>
      <c r="B37" s="61" t="s">
        <v>170</v>
      </c>
      <c r="C37" s="31" t="n">
        <f aca="false">C20</f>
        <v>246.4224</v>
      </c>
      <c r="D37" s="55"/>
      <c r="E37" s="55"/>
      <c r="F37" s="51" t="n">
        <f aca="false">D37+E37</f>
        <v>0</v>
      </c>
      <c r="G37" s="31" t="n">
        <f aca="false">F37-C37</f>
        <v>-246.4224</v>
      </c>
      <c r="H37" s="19" t="n">
        <f aca="false">IF(C37&gt;0,F37/C37,0)</f>
        <v>0</v>
      </c>
      <c r="I37" s="55"/>
      <c r="J37" s="55"/>
    </row>
    <row r="38" customFormat="false" ht="18" hidden="false" customHeight="true" outlineLevel="0" collapsed="false">
      <c r="A38" s="18" t="n">
        <v>13</v>
      </c>
      <c r="B38" s="61" t="s">
        <v>170</v>
      </c>
      <c r="C38" s="31" t="n">
        <f aca="false">C20</f>
        <v>246.4224</v>
      </c>
      <c r="D38" s="55"/>
      <c r="E38" s="55"/>
      <c r="F38" s="51" t="n">
        <f aca="false">D38+E38</f>
        <v>0</v>
      </c>
      <c r="G38" s="31" t="n">
        <f aca="false">F38-C38</f>
        <v>-246.4224</v>
      </c>
      <c r="H38" s="19" t="n">
        <f aca="false">IF(C38&gt;0,F38/C38,0)</f>
        <v>0</v>
      </c>
      <c r="I38" s="55"/>
      <c r="J38" s="55"/>
    </row>
    <row r="39" customFormat="false" ht="18" hidden="false" customHeight="true" outlineLevel="0" collapsed="false">
      <c r="A39" s="20" t="s">
        <v>364</v>
      </c>
      <c r="B39" s="22"/>
      <c r="C39" s="21" t="n">
        <f aca="false">SUM(C26:C38)</f>
        <v>3203.4912</v>
      </c>
      <c r="D39" s="21" t="n">
        <f aca="false">SUM(D26:D38)</f>
        <v>0</v>
      </c>
      <c r="E39" s="21" t="n">
        <f aca="false">SUM(E26:E38)</f>
        <v>0</v>
      </c>
      <c r="F39" s="21" t="n">
        <f aca="false">SUM(F26:F38)</f>
        <v>0</v>
      </c>
      <c r="G39" s="21" t="n">
        <f aca="false">F39-C39</f>
        <v>-3203.4912</v>
      </c>
      <c r="H39" s="23" t="n">
        <f aca="false">IF(C39&gt;0,F39/C39,0)</f>
        <v>0</v>
      </c>
      <c r="I39" s="21" t="n">
        <f aca="false">SUM(I26:I38)</f>
        <v>0</v>
      </c>
      <c r="J39" s="21" t="n">
        <f aca="false">SUM(J26:J38)</f>
        <v>0</v>
      </c>
    </row>
    <row r="40" customFormat="false" ht="18" hidden="false" customHeight="true" outlineLevel="0" collapsed="false">
      <c r="A40" s="5" t="s">
        <v>365</v>
      </c>
      <c r="B40" s="5" t="str">
        <f aca="false">IF(H39&gt;=1,"GREEN",IF(H39&gt;=0.8,"AMBER","RED"))</f>
        <v>RED</v>
      </c>
    </row>
    <row r="42" customFormat="false" ht="24" hidden="false" customHeight="true" outlineLevel="0" collapsed="false">
      <c r="A42" s="3" t="s">
        <v>366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30" hidden="false" customHeight="true" outlineLevel="0" collapsed="false">
      <c r="A43" s="4" t="s">
        <v>174</v>
      </c>
      <c r="B43" s="4" t="s">
        <v>72</v>
      </c>
      <c r="C43" s="4" t="s">
        <v>281</v>
      </c>
      <c r="D43" s="4" t="s">
        <v>197</v>
      </c>
      <c r="E43" s="4" t="s">
        <v>367</v>
      </c>
      <c r="F43" s="4" t="s">
        <v>368</v>
      </c>
      <c r="G43" s="4" t="s">
        <v>282</v>
      </c>
      <c r="H43" s="4" t="s">
        <v>199</v>
      </c>
      <c r="I43" s="4" t="s">
        <v>283</v>
      </c>
      <c r="J43" s="4" t="s">
        <v>369</v>
      </c>
    </row>
    <row r="44" customFormat="false" ht="18" hidden="false" customHeight="true" outlineLevel="0" collapsed="false">
      <c r="A44" s="63"/>
      <c r="B44" s="63"/>
      <c r="C44" s="63"/>
      <c r="D44" s="55"/>
      <c r="E44" s="55"/>
      <c r="F44" s="18" t="str">
        <f aca="false">IF(D44="","",D44*E44)</f>
        <v/>
      </c>
      <c r="G44" s="56"/>
      <c r="H44" s="29" t="str">
        <f aca="false">IF(D44="","",D44*G44)</f>
        <v/>
      </c>
      <c r="I44" s="29" t="str">
        <f aca="false">IF(H44="","",H44*Assumptions!B17)</f>
        <v/>
      </c>
      <c r="J44" s="26" t="str">
        <f aca="false">IF(H44="","",H44+I44)</f>
        <v/>
      </c>
    </row>
    <row r="45" customFormat="false" ht="18" hidden="false" customHeight="true" outlineLevel="0" collapsed="false">
      <c r="A45" s="63"/>
      <c r="B45" s="63"/>
      <c r="C45" s="63"/>
      <c r="D45" s="55"/>
      <c r="E45" s="55"/>
      <c r="F45" s="18" t="str">
        <f aca="false">IF(D45="","",D45*E45)</f>
        <v/>
      </c>
      <c r="G45" s="56"/>
      <c r="H45" s="29" t="str">
        <f aca="false">IF(D45="","",D45*G45)</f>
        <v/>
      </c>
      <c r="I45" s="29" t="str">
        <f aca="false">IF(H45="","",H45*Assumptions!B17)</f>
        <v/>
      </c>
      <c r="J45" s="26" t="str">
        <f aca="false">IF(H45="","",H45+I45)</f>
        <v/>
      </c>
    </row>
    <row r="46" customFormat="false" ht="18" hidden="false" customHeight="true" outlineLevel="0" collapsed="false">
      <c r="A46" s="63"/>
      <c r="B46" s="63"/>
      <c r="C46" s="63"/>
      <c r="D46" s="55"/>
      <c r="E46" s="55"/>
      <c r="F46" s="18" t="str">
        <f aca="false">IF(D46="","",D46*E46)</f>
        <v/>
      </c>
      <c r="G46" s="56"/>
      <c r="H46" s="29" t="str">
        <f aca="false">IF(D46="","",D46*G46)</f>
        <v/>
      </c>
      <c r="I46" s="29" t="str">
        <f aca="false">IF(H46="","",H46*Assumptions!B17)</f>
        <v/>
      </c>
      <c r="J46" s="26" t="str">
        <f aca="false">IF(H46="","",H46+I46)</f>
        <v/>
      </c>
    </row>
    <row r="47" customFormat="false" ht="18" hidden="false" customHeight="true" outlineLevel="0" collapsed="false">
      <c r="A47" s="63"/>
      <c r="B47" s="63"/>
      <c r="C47" s="63"/>
      <c r="D47" s="55"/>
      <c r="E47" s="55"/>
      <c r="F47" s="18" t="str">
        <f aca="false">IF(D47="","",D47*E47)</f>
        <v/>
      </c>
      <c r="G47" s="56"/>
      <c r="H47" s="29" t="str">
        <f aca="false">IF(D47="","",D47*G47)</f>
        <v/>
      </c>
      <c r="I47" s="29" t="str">
        <f aca="false">IF(H47="","",H47*Assumptions!B17)</f>
        <v/>
      </c>
      <c r="J47" s="26" t="str">
        <f aca="false">IF(H47="","",H47+I47)</f>
        <v/>
      </c>
    </row>
    <row r="48" customFormat="false" ht="18" hidden="false" customHeight="true" outlineLevel="0" collapsed="false">
      <c r="A48" s="63"/>
      <c r="B48" s="63"/>
      <c r="C48" s="63"/>
      <c r="D48" s="55"/>
      <c r="E48" s="55"/>
      <c r="F48" s="18" t="str">
        <f aca="false">IF(D48="","",D48*E48)</f>
        <v/>
      </c>
      <c r="G48" s="56"/>
      <c r="H48" s="29" t="str">
        <f aca="false">IF(D48="","",D48*G48)</f>
        <v/>
      </c>
      <c r="I48" s="29" t="str">
        <f aca="false">IF(H48="","",H48*Assumptions!B17)</f>
        <v/>
      </c>
      <c r="J48" s="26" t="str">
        <f aca="false">IF(H48="","",H48+I48)</f>
        <v/>
      </c>
    </row>
    <row r="49" customFormat="false" ht="18" hidden="false" customHeight="true" outlineLevel="0" collapsed="false">
      <c r="A49" s="63"/>
      <c r="B49" s="63"/>
      <c r="C49" s="63"/>
      <c r="D49" s="55"/>
      <c r="E49" s="55"/>
      <c r="F49" s="18" t="str">
        <f aca="false">IF(D49="","",D49*E49)</f>
        <v/>
      </c>
      <c r="G49" s="56"/>
      <c r="H49" s="29" t="str">
        <f aca="false">IF(D49="","",D49*G49)</f>
        <v/>
      </c>
      <c r="I49" s="29" t="str">
        <f aca="false">IF(H49="","",H49*Assumptions!B17)</f>
        <v/>
      </c>
      <c r="J49" s="26" t="str">
        <f aca="false">IF(H49="","",H49+I49)</f>
        <v/>
      </c>
    </row>
    <row r="50" customFormat="false" ht="18" hidden="false" customHeight="true" outlineLevel="0" collapsed="false">
      <c r="A50" s="63"/>
      <c r="B50" s="63"/>
      <c r="C50" s="63"/>
      <c r="D50" s="55"/>
      <c r="E50" s="55"/>
      <c r="F50" s="18" t="str">
        <f aca="false">IF(D50="","",D50*E50)</f>
        <v/>
      </c>
      <c r="G50" s="56"/>
      <c r="H50" s="29" t="str">
        <f aca="false">IF(D50="","",D50*G50)</f>
        <v/>
      </c>
      <c r="I50" s="29" t="str">
        <f aca="false">IF(H50="","",H50*Assumptions!B17)</f>
        <v/>
      </c>
      <c r="J50" s="26" t="str">
        <f aca="false">IF(H50="","",H50+I50)</f>
        <v/>
      </c>
    </row>
    <row r="51" customFormat="false" ht="18" hidden="false" customHeight="true" outlineLevel="0" collapsed="false">
      <c r="A51" s="63"/>
      <c r="B51" s="63"/>
      <c r="C51" s="63"/>
      <c r="D51" s="55"/>
      <c r="E51" s="55"/>
      <c r="F51" s="18" t="str">
        <f aca="false">IF(D51="","",D51*E51)</f>
        <v/>
      </c>
      <c r="G51" s="56"/>
      <c r="H51" s="29" t="str">
        <f aca="false">IF(D51="","",D51*G51)</f>
        <v/>
      </c>
      <c r="I51" s="29" t="str">
        <f aca="false">IF(H51="","",H51*Assumptions!B17)</f>
        <v/>
      </c>
      <c r="J51" s="26" t="str">
        <f aca="false">IF(H51="","",H51+I51)</f>
        <v/>
      </c>
    </row>
    <row r="52" customFormat="false" ht="18" hidden="false" customHeight="true" outlineLevel="0" collapsed="false">
      <c r="A52" s="63"/>
      <c r="B52" s="63"/>
      <c r="C52" s="63"/>
      <c r="D52" s="55"/>
      <c r="E52" s="55"/>
      <c r="F52" s="18" t="str">
        <f aca="false">IF(D52="","",D52*E52)</f>
        <v/>
      </c>
      <c r="G52" s="56"/>
      <c r="H52" s="29" t="str">
        <f aca="false">IF(D52="","",D52*G52)</f>
        <v/>
      </c>
      <c r="I52" s="29" t="str">
        <f aca="false">IF(H52="","",H52*Assumptions!B17)</f>
        <v/>
      </c>
      <c r="J52" s="26" t="str">
        <f aca="false">IF(H52="","",H52+I52)</f>
        <v/>
      </c>
    </row>
    <row r="53" customFormat="false" ht="18" hidden="false" customHeight="true" outlineLevel="0" collapsed="false">
      <c r="A53" s="63"/>
      <c r="B53" s="63"/>
      <c r="C53" s="63"/>
      <c r="D53" s="55"/>
      <c r="E53" s="55"/>
      <c r="F53" s="18" t="str">
        <f aca="false">IF(D53="","",D53*E53)</f>
        <v/>
      </c>
      <c r="G53" s="56"/>
      <c r="H53" s="29" t="str">
        <f aca="false">IF(D53="","",D53*G53)</f>
        <v/>
      </c>
      <c r="I53" s="29" t="str">
        <f aca="false">IF(H53="","",H53*Assumptions!B17)</f>
        <v/>
      </c>
      <c r="J53" s="26" t="str">
        <f aca="false">IF(H53="","",H53+I53)</f>
        <v/>
      </c>
    </row>
    <row r="54" customFormat="false" ht="18" hidden="false" customHeight="true" outlineLevel="0" collapsed="false">
      <c r="A54" s="20" t="s">
        <v>370</v>
      </c>
      <c r="B54" s="22"/>
      <c r="C54" s="22"/>
      <c r="D54" s="21" t="n">
        <f aca="false">SUM(D44:D53)</f>
        <v>0</v>
      </c>
      <c r="E54" s="22"/>
      <c r="F54" s="21" t="n">
        <f aca="false">SUM(F44:F53)</f>
        <v>0</v>
      </c>
      <c r="G54" s="22"/>
      <c r="H54" s="32" t="n">
        <f aca="false">SUM(H44:H53)</f>
        <v>0</v>
      </c>
      <c r="I54" s="32" t="n">
        <f aca="false">SUM(I44:I53)</f>
        <v>0</v>
      </c>
      <c r="J54" s="32" t="n">
        <f aca="false">SUM(J44:J53)</f>
        <v>0</v>
      </c>
    </row>
    <row r="56" customFormat="false" ht="24" hidden="false" customHeight="true" outlineLevel="0" collapsed="false">
      <c r="A56" s="3" t="s">
        <v>371</v>
      </c>
      <c r="B56" s="3"/>
      <c r="C56" s="3"/>
      <c r="D56" s="3"/>
      <c r="E56" s="3"/>
      <c r="F56" s="3"/>
      <c r="G56" s="3"/>
      <c r="H56" s="3"/>
      <c r="I56" s="3"/>
      <c r="J56" s="3"/>
    </row>
    <row r="57" customFormat="false" ht="30" hidden="false" customHeight="true" outlineLevel="0" collapsed="false">
      <c r="A57" s="4" t="s">
        <v>174</v>
      </c>
      <c r="B57" s="4" t="s">
        <v>72</v>
      </c>
      <c r="C57" s="4" t="s">
        <v>197</v>
      </c>
      <c r="D57" s="4" t="s">
        <v>372</v>
      </c>
      <c r="E57" s="4" t="s">
        <v>373</v>
      </c>
      <c r="F57" s="4" t="s">
        <v>283</v>
      </c>
      <c r="G57" s="4" t="s">
        <v>374</v>
      </c>
      <c r="H57" s="4" t="s">
        <v>202</v>
      </c>
      <c r="I57" s="4" t="s">
        <v>375</v>
      </c>
      <c r="J57" s="4" t="s">
        <v>205</v>
      </c>
    </row>
    <row r="58" customFormat="false" ht="18" hidden="false" customHeight="true" outlineLevel="0" collapsed="false">
      <c r="A58" s="63"/>
      <c r="B58" s="63"/>
      <c r="C58" s="55"/>
      <c r="D58" s="56"/>
      <c r="E58" s="29" t="str">
        <f aca="false">IF(C58="","",C58*D58)</f>
        <v/>
      </c>
      <c r="F58" s="29" t="str">
        <f aca="false">IF(E58="","",E58*Assumptions!B17)</f>
        <v/>
      </c>
      <c r="G58" s="26" t="str">
        <f aca="false">IF(E58="","",E58+F58)</f>
        <v/>
      </c>
      <c r="H58" s="57"/>
      <c r="I58" s="26" t="str">
        <f aca="false">IF(G58="","",G58*H58)</f>
        <v/>
      </c>
      <c r="J58" s="63"/>
    </row>
    <row r="59" customFormat="false" ht="18" hidden="false" customHeight="true" outlineLevel="0" collapsed="false">
      <c r="A59" s="63"/>
      <c r="B59" s="63"/>
      <c r="C59" s="55"/>
      <c r="D59" s="56"/>
      <c r="E59" s="29" t="str">
        <f aca="false">IF(C59="","",C59*D59)</f>
        <v/>
      </c>
      <c r="F59" s="29" t="str">
        <f aca="false">IF(E59="","",E59*Assumptions!B17)</f>
        <v/>
      </c>
      <c r="G59" s="26" t="str">
        <f aca="false">IF(E59="","",E59+F59)</f>
        <v/>
      </c>
      <c r="H59" s="57"/>
      <c r="I59" s="26" t="str">
        <f aca="false">IF(G59="","",G59*H59)</f>
        <v/>
      </c>
      <c r="J59" s="63"/>
    </row>
    <row r="60" customFormat="false" ht="18" hidden="false" customHeight="true" outlineLevel="0" collapsed="false">
      <c r="A60" s="63"/>
      <c r="B60" s="63"/>
      <c r="C60" s="55"/>
      <c r="D60" s="56"/>
      <c r="E60" s="29" t="str">
        <f aca="false">IF(C60="","",C60*D60)</f>
        <v/>
      </c>
      <c r="F60" s="29" t="str">
        <f aca="false">IF(E60="","",E60*Assumptions!B17)</f>
        <v/>
      </c>
      <c r="G60" s="26" t="str">
        <f aca="false">IF(E60="","",E60+F60)</f>
        <v/>
      </c>
      <c r="H60" s="57"/>
      <c r="I60" s="26" t="str">
        <f aca="false">IF(G60="","",G60*H60)</f>
        <v/>
      </c>
      <c r="J60" s="63"/>
    </row>
    <row r="61" customFormat="false" ht="18" hidden="false" customHeight="true" outlineLevel="0" collapsed="false">
      <c r="A61" s="63"/>
      <c r="B61" s="63"/>
      <c r="C61" s="55"/>
      <c r="D61" s="56"/>
      <c r="E61" s="29" t="str">
        <f aca="false">IF(C61="","",C61*D61)</f>
        <v/>
      </c>
      <c r="F61" s="29" t="str">
        <f aca="false">IF(E61="","",E61*Assumptions!B17)</f>
        <v/>
      </c>
      <c r="G61" s="26" t="str">
        <f aca="false">IF(E61="","",E61+F61)</f>
        <v/>
      </c>
      <c r="H61" s="57"/>
      <c r="I61" s="26" t="str">
        <f aca="false">IF(G61="","",G61*H61)</f>
        <v/>
      </c>
      <c r="J61" s="63"/>
    </row>
    <row r="62" customFormat="false" ht="18" hidden="false" customHeight="true" outlineLevel="0" collapsed="false">
      <c r="A62" s="63"/>
      <c r="B62" s="63"/>
      <c r="C62" s="55"/>
      <c r="D62" s="56"/>
      <c r="E62" s="29" t="str">
        <f aca="false">IF(C62="","",C62*D62)</f>
        <v/>
      </c>
      <c r="F62" s="29" t="str">
        <f aca="false">IF(E62="","",E62*Assumptions!B17)</f>
        <v/>
      </c>
      <c r="G62" s="26" t="str">
        <f aca="false">IF(E62="","",E62+F62)</f>
        <v/>
      </c>
      <c r="H62" s="57"/>
      <c r="I62" s="26" t="str">
        <f aca="false">IF(G62="","",G62*H62)</f>
        <v/>
      </c>
      <c r="J62" s="63"/>
    </row>
    <row r="63" customFormat="false" ht="18" hidden="false" customHeight="true" outlineLevel="0" collapsed="false">
      <c r="A63" s="20" t="s">
        <v>376</v>
      </c>
      <c r="B63" s="22"/>
      <c r="C63" s="21" t="n">
        <f aca="false">SUM(C58:C62)</f>
        <v>0</v>
      </c>
      <c r="D63" s="22"/>
      <c r="E63" s="32" t="n">
        <f aca="false">SUM(E58:E62)</f>
        <v>0</v>
      </c>
      <c r="F63" s="32" t="n">
        <f aca="false">SUM(F58:F62)</f>
        <v>0</v>
      </c>
      <c r="G63" s="32" t="n">
        <f aca="false">SUM(G58:G62)</f>
        <v>0</v>
      </c>
      <c r="H63" s="22"/>
      <c r="I63" s="32" t="n">
        <f aca="false">SUM(I58:I62)</f>
        <v>0</v>
      </c>
      <c r="J63" s="22"/>
    </row>
    <row r="65" customFormat="false" ht="24" hidden="false" customHeight="true" outlineLevel="0" collapsed="false">
      <c r="A65" s="3" t="s">
        <v>377</v>
      </c>
      <c r="B65" s="3"/>
      <c r="C65" s="3"/>
      <c r="D65" s="3"/>
      <c r="E65" s="3"/>
      <c r="F65" s="3"/>
      <c r="G65" s="3"/>
      <c r="H65" s="3"/>
      <c r="I65" s="3"/>
      <c r="J65" s="3"/>
    </row>
    <row r="66" customFormat="false" ht="30" hidden="false" customHeight="true" outlineLevel="0" collapsed="false">
      <c r="A66" s="4" t="s">
        <v>245</v>
      </c>
      <c r="B66" s="4" t="s">
        <v>378</v>
      </c>
      <c r="C66" s="4" t="s">
        <v>379</v>
      </c>
      <c r="D66" s="4" t="s">
        <v>248</v>
      </c>
      <c r="E66" s="4" t="s">
        <v>249</v>
      </c>
      <c r="F66" s="4" t="s">
        <v>240</v>
      </c>
      <c r="G66" s="4" t="s">
        <v>380</v>
      </c>
      <c r="H66" s="4" t="s">
        <v>381</v>
      </c>
      <c r="I66" s="4" t="s">
        <v>382</v>
      </c>
      <c r="J66" s="4" t="s">
        <v>277</v>
      </c>
    </row>
    <row r="67" customFormat="false" ht="18" hidden="false" customHeight="true" outlineLevel="0" collapsed="false">
      <c r="A67" s="7" t="s">
        <v>253</v>
      </c>
      <c r="B67" s="29" t="n">
        <f aca="false">'Practice Allocations'!E5</f>
        <v>35571.83</v>
      </c>
      <c r="C67" s="29" t="n">
        <f aca="false">B67*1</f>
        <v>35571.83</v>
      </c>
      <c r="D67" s="56"/>
      <c r="E67" s="56"/>
      <c r="F67" s="29" t="n">
        <f aca="false">D67+E67</f>
        <v>0</v>
      </c>
      <c r="G67" s="29" t="n">
        <f aca="false">F67</f>
        <v>0</v>
      </c>
      <c r="H67" s="26" t="n">
        <f aca="false">C67-G67</f>
        <v>35571.83</v>
      </c>
      <c r="I67" s="19" t="n">
        <f aca="false">IF(C67&gt;0,G67/C67,0)</f>
        <v>0</v>
      </c>
      <c r="J67" s="5" t="str">
        <f aca="false">IF(H67&lt;0,"OVERSPEND",IF(I67&gt;0.9,"HIGH","OK"))</f>
        <v>OK</v>
      </c>
    </row>
    <row r="68" customFormat="false" ht="18" hidden="false" customHeight="true" outlineLevel="0" collapsed="false">
      <c r="A68" s="7" t="s">
        <v>254</v>
      </c>
      <c r="B68" s="29" t="n">
        <f aca="false">'Practice Allocations'!E5</f>
        <v>35571.83</v>
      </c>
      <c r="C68" s="29" t="n">
        <f aca="false">B68*2</f>
        <v>71143.66</v>
      </c>
      <c r="D68" s="56"/>
      <c r="E68" s="56"/>
      <c r="F68" s="29" t="n">
        <f aca="false">D68+E68</f>
        <v>0</v>
      </c>
      <c r="G68" s="29" t="n">
        <f aca="false">G67+F68</f>
        <v>0</v>
      </c>
      <c r="H68" s="26" t="n">
        <f aca="false">C68-G68</f>
        <v>71143.66</v>
      </c>
      <c r="I68" s="19" t="n">
        <f aca="false">IF(C68&gt;0,G68/C68,0)</f>
        <v>0</v>
      </c>
      <c r="J68" s="5" t="str">
        <f aca="false">IF(H68&lt;0,"OVERSPEND",IF(I68&gt;0.9,"HIGH","OK"))</f>
        <v>OK</v>
      </c>
    </row>
    <row r="69" customFormat="false" ht="18" hidden="false" customHeight="true" outlineLevel="0" collapsed="false">
      <c r="A69" s="7" t="s">
        <v>255</v>
      </c>
      <c r="B69" s="29" t="n">
        <f aca="false">'Practice Allocations'!E5</f>
        <v>35571.83</v>
      </c>
      <c r="C69" s="29" t="n">
        <f aca="false">B69*3</f>
        <v>106715.49</v>
      </c>
      <c r="D69" s="56"/>
      <c r="E69" s="56"/>
      <c r="F69" s="29" t="n">
        <f aca="false">D69+E69</f>
        <v>0</v>
      </c>
      <c r="G69" s="29" t="n">
        <f aca="false">G68+F69</f>
        <v>0</v>
      </c>
      <c r="H69" s="26" t="n">
        <f aca="false">C69-G69</f>
        <v>106715.49</v>
      </c>
      <c r="I69" s="19" t="n">
        <f aca="false">IF(C69&gt;0,G69/C69,0)</f>
        <v>0</v>
      </c>
      <c r="J69" s="5" t="str">
        <f aca="false">IF(H69&lt;0,"OVERSPEND",IF(I69&gt;0.9,"HIGH","OK"))</f>
        <v>OK</v>
      </c>
    </row>
    <row r="70" customFormat="false" ht="18" hidden="false" customHeight="true" outlineLevel="0" collapsed="false">
      <c r="A70" s="7" t="s">
        <v>256</v>
      </c>
      <c r="B70" s="29" t="n">
        <f aca="false">'Practice Allocations'!E5</f>
        <v>35571.83</v>
      </c>
      <c r="C70" s="29" t="n">
        <f aca="false">B70*4</f>
        <v>142287.32</v>
      </c>
      <c r="D70" s="56"/>
      <c r="E70" s="56"/>
      <c r="F70" s="29" t="n">
        <f aca="false">D70+E70</f>
        <v>0</v>
      </c>
      <c r="G70" s="29" t="n">
        <f aca="false">G69+F70</f>
        <v>0</v>
      </c>
      <c r="H70" s="26" t="n">
        <f aca="false">C70-G70</f>
        <v>142287.32</v>
      </c>
      <c r="I70" s="19" t="n">
        <f aca="false">IF(C70&gt;0,G70/C70,0)</f>
        <v>0</v>
      </c>
      <c r="J70" s="5" t="str">
        <f aca="false">IF(H70&lt;0,"OVERSPEND",IF(I70&gt;0.9,"HIGH","OK"))</f>
        <v>OK</v>
      </c>
    </row>
    <row r="71" customFormat="false" ht="18" hidden="false" customHeight="true" outlineLevel="0" collapsed="false">
      <c r="A71" s="7" t="s">
        <v>257</v>
      </c>
      <c r="B71" s="29" t="n">
        <f aca="false">'Practice Allocations'!E5</f>
        <v>35571.83</v>
      </c>
      <c r="C71" s="29" t="n">
        <f aca="false">B71*5</f>
        <v>177859.15</v>
      </c>
      <c r="D71" s="56"/>
      <c r="E71" s="56"/>
      <c r="F71" s="29" t="n">
        <f aca="false">D71+E71</f>
        <v>0</v>
      </c>
      <c r="G71" s="29" t="n">
        <f aca="false">G70+F71</f>
        <v>0</v>
      </c>
      <c r="H71" s="26" t="n">
        <f aca="false">C71-G71</f>
        <v>177859.15</v>
      </c>
      <c r="I71" s="19" t="n">
        <f aca="false">IF(C71&gt;0,G71/C71,0)</f>
        <v>0</v>
      </c>
      <c r="J71" s="5" t="str">
        <f aca="false">IF(H71&lt;0,"OVERSPEND",IF(I71&gt;0.9,"HIGH","OK"))</f>
        <v>OK</v>
      </c>
    </row>
    <row r="72" customFormat="false" ht="18" hidden="false" customHeight="true" outlineLevel="0" collapsed="false">
      <c r="A72" s="7" t="s">
        <v>258</v>
      </c>
      <c r="B72" s="29" t="n">
        <f aca="false">'Practice Allocations'!E5</f>
        <v>35571.83</v>
      </c>
      <c r="C72" s="29" t="n">
        <f aca="false">B72*6</f>
        <v>213430.98</v>
      </c>
      <c r="D72" s="56"/>
      <c r="E72" s="56"/>
      <c r="F72" s="29" t="n">
        <f aca="false">D72+E72</f>
        <v>0</v>
      </c>
      <c r="G72" s="29" t="n">
        <f aca="false">G71+F72</f>
        <v>0</v>
      </c>
      <c r="H72" s="26" t="n">
        <f aca="false">C72-G72</f>
        <v>213430.98</v>
      </c>
      <c r="I72" s="19" t="n">
        <f aca="false">IF(C72&gt;0,G72/C72,0)</f>
        <v>0</v>
      </c>
      <c r="J72" s="5" t="str">
        <f aca="false">IF(H72&lt;0,"OVERSPEND",IF(I72&gt;0.9,"HIGH","OK"))</f>
        <v>OK</v>
      </c>
    </row>
    <row r="73" customFormat="false" ht="18" hidden="false" customHeight="true" outlineLevel="0" collapsed="false">
      <c r="A73" s="7" t="s">
        <v>259</v>
      </c>
      <c r="B73" s="29" t="n">
        <f aca="false">'Practice Allocations'!E5</f>
        <v>35571.83</v>
      </c>
      <c r="C73" s="29" t="n">
        <f aca="false">B73*7</f>
        <v>249002.81</v>
      </c>
      <c r="D73" s="56"/>
      <c r="E73" s="56"/>
      <c r="F73" s="29" t="n">
        <f aca="false">D73+E73</f>
        <v>0</v>
      </c>
      <c r="G73" s="29" t="n">
        <f aca="false">G72+F73</f>
        <v>0</v>
      </c>
      <c r="H73" s="26" t="n">
        <f aca="false">C73-G73</f>
        <v>249002.81</v>
      </c>
      <c r="I73" s="19" t="n">
        <f aca="false">IF(C73&gt;0,G73/C73,0)</f>
        <v>0</v>
      </c>
      <c r="J73" s="5" t="str">
        <f aca="false">IF(H73&lt;0,"OVERSPEND",IF(I73&gt;0.9,"HIGH","OK"))</f>
        <v>OK</v>
      </c>
    </row>
    <row r="74" customFormat="false" ht="18" hidden="false" customHeight="true" outlineLevel="0" collapsed="false">
      <c r="A74" s="7" t="s">
        <v>260</v>
      </c>
      <c r="B74" s="29" t="n">
        <f aca="false">'Practice Allocations'!E5</f>
        <v>35571.83</v>
      </c>
      <c r="C74" s="29" t="n">
        <f aca="false">B74*8</f>
        <v>284574.64</v>
      </c>
      <c r="D74" s="56"/>
      <c r="E74" s="56"/>
      <c r="F74" s="29" t="n">
        <f aca="false">D74+E74</f>
        <v>0</v>
      </c>
      <c r="G74" s="29" t="n">
        <f aca="false">G73+F74</f>
        <v>0</v>
      </c>
      <c r="H74" s="26" t="n">
        <f aca="false">C74-G74</f>
        <v>284574.64</v>
      </c>
      <c r="I74" s="19" t="n">
        <f aca="false">IF(C74&gt;0,G74/C74,0)</f>
        <v>0</v>
      </c>
      <c r="J74" s="5" t="str">
        <f aca="false">IF(H74&lt;0,"OVERSPEND",IF(I74&gt;0.9,"HIGH","OK"))</f>
        <v>OK</v>
      </c>
    </row>
    <row r="75" customFormat="false" ht="18" hidden="false" customHeight="true" outlineLevel="0" collapsed="false">
      <c r="A75" s="7" t="s">
        <v>261</v>
      </c>
      <c r="B75" s="29" t="n">
        <f aca="false">'Practice Allocations'!E5</f>
        <v>35571.83</v>
      </c>
      <c r="C75" s="29" t="n">
        <f aca="false">B75*9</f>
        <v>320146.47</v>
      </c>
      <c r="D75" s="56"/>
      <c r="E75" s="56"/>
      <c r="F75" s="29" t="n">
        <f aca="false">D75+E75</f>
        <v>0</v>
      </c>
      <c r="G75" s="29" t="n">
        <f aca="false">G74+F75</f>
        <v>0</v>
      </c>
      <c r="H75" s="26" t="n">
        <f aca="false">C75-G75</f>
        <v>320146.47</v>
      </c>
      <c r="I75" s="19" t="n">
        <f aca="false">IF(C75&gt;0,G75/C75,0)</f>
        <v>0</v>
      </c>
      <c r="J75" s="5" t="str">
        <f aca="false">IF(H75&lt;0,"OVERSPEND",IF(I75&gt;0.9,"HIGH","OK"))</f>
        <v>OK</v>
      </c>
    </row>
    <row r="76" customFormat="false" ht="18" hidden="false" customHeight="true" outlineLevel="0" collapsed="false">
      <c r="A76" s="7" t="s">
        <v>262</v>
      </c>
      <c r="B76" s="29" t="n">
        <f aca="false">'Practice Allocations'!E5</f>
        <v>35571.83</v>
      </c>
      <c r="C76" s="29" t="n">
        <f aca="false">B76*10</f>
        <v>355718.3</v>
      </c>
      <c r="D76" s="56"/>
      <c r="E76" s="56"/>
      <c r="F76" s="29" t="n">
        <f aca="false">D76+E76</f>
        <v>0</v>
      </c>
      <c r="G76" s="29" t="n">
        <f aca="false">G75+F76</f>
        <v>0</v>
      </c>
      <c r="H76" s="26" t="n">
        <f aca="false">C76-G76</f>
        <v>355718.3</v>
      </c>
      <c r="I76" s="19" t="n">
        <f aca="false">IF(C76&gt;0,G76/C76,0)</f>
        <v>0</v>
      </c>
      <c r="J76" s="5" t="str">
        <f aca="false">IF(H76&lt;0,"OVERSPEND",IF(I76&gt;0.9,"HIGH","OK"))</f>
        <v>OK</v>
      </c>
    </row>
    <row r="77" customFormat="false" ht="18" hidden="false" customHeight="true" outlineLevel="0" collapsed="false">
      <c r="A77" s="7" t="s">
        <v>263</v>
      </c>
      <c r="B77" s="29" t="n">
        <f aca="false">'Practice Allocations'!E5</f>
        <v>35571.83</v>
      </c>
      <c r="C77" s="29" t="n">
        <f aca="false">B77*11</f>
        <v>391290.13</v>
      </c>
      <c r="D77" s="56"/>
      <c r="E77" s="56"/>
      <c r="F77" s="29" t="n">
        <f aca="false">D77+E77</f>
        <v>0</v>
      </c>
      <c r="G77" s="29" t="n">
        <f aca="false">G76+F77</f>
        <v>0</v>
      </c>
      <c r="H77" s="26" t="n">
        <f aca="false">C77-G77</f>
        <v>391290.13</v>
      </c>
      <c r="I77" s="19" t="n">
        <f aca="false">IF(C77&gt;0,G77/C77,0)</f>
        <v>0</v>
      </c>
      <c r="J77" s="5" t="str">
        <f aca="false">IF(H77&lt;0,"OVERSPEND",IF(I77&gt;0.9,"HIGH","OK"))</f>
        <v>OK</v>
      </c>
    </row>
    <row r="78" customFormat="false" ht="18" hidden="false" customHeight="true" outlineLevel="0" collapsed="false">
      <c r="A78" s="7" t="s">
        <v>264</v>
      </c>
      <c r="B78" s="29" t="n">
        <f aca="false">'Practice Allocations'!E5</f>
        <v>35571.83</v>
      </c>
      <c r="C78" s="29" t="n">
        <f aca="false">B78*12</f>
        <v>426861.96</v>
      </c>
      <c r="D78" s="56"/>
      <c r="E78" s="56"/>
      <c r="F78" s="29" t="n">
        <f aca="false">D78+E78</f>
        <v>0</v>
      </c>
      <c r="G78" s="29" t="n">
        <f aca="false">G77+F78</f>
        <v>0</v>
      </c>
      <c r="H78" s="26" t="n">
        <f aca="false">C78-G78</f>
        <v>426861.96</v>
      </c>
      <c r="I78" s="19" t="n">
        <f aca="false">IF(C78&gt;0,G78/C78,0)</f>
        <v>0</v>
      </c>
      <c r="J78" s="5" t="str">
        <f aca="false">IF(H78&lt;0,"OVERSPEND",IF(I78&gt;0.9,"HIGH","OK"))</f>
        <v>OK</v>
      </c>
    </row>
    <row r="79" customFormat="false" ht="18" hidden="false" customHeight="true" outlineLevel="0" collapsed="false">
      <c r="A79" s="20" t="s">
        <v>383</v>
      </c>
      <c r="B79" s="32" t="n">
        <f aca="false">SUM(B67:B78)</f>
        <v>426861.96</v>
      </c>
      <c r="C79" s="32" t="n">
        <f aca="false">C78</f>
        <v>426861.96</v>
      </c>
      <c r="D79" s="32" t="n">
        <f aca="false">SUM(D67:D78)</f>
        <v>0</v>
      </c>
      <c r="E79" s="32" t="n">
        <f aca="false">SUM(E67:E78)</f>
        <v>0</v>
      </c>
      <c r="F79" s="32" t="n">
        <f aca="false">SUM(F67:F78)</f>
        <v>0</v>
      </c>
      <c r="G79" s="32" t="n">
        <f aca="false">G78</f>
        <v>0</v>
      </c>
      <c r="H79" s="32" t="n">
        <f aca="false">H78</f>
        <v>426861.96</v>
      </c>
      <c r="I79" s="23" t="n">
        <f aca="false">I78</f>
        <v>0</v>
      </c>
      <c r="J79" s="22"/>
    </row>
    <row r="81" customFormat="false" ht="24" hidden="false" customHeight="true" outlineLevel="0" collapsed="false">
      <c r="A81" s="3" t="s">
        <v>384</v>
      </c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8" hidden="false" customHeight="true" outlineLevel="0" collapsed="false">
      <c r="A82" s="5" t="s">
        <v>385</v>
      </c>
      <c r="B82" s="30" t="n">
        <f aca="false">F22</f>
        <v>13446.2328</v>
      </c>
    </row>
    <row r="83" customFormat="false" ht="18" hidden="false" customHeight="true" outlineLevel="0" collapsed="false">
      <c r="A83" s="5" t="s">
        <v>386</v>
      </c>
      <c r="B83" s="30" t="n">
        <f aca="false">F39</f>
        <v>0</v>
      </c>
    </row>
    <row r="84" customFormat="false" ht="18" hidden="false" customHeight="true" outlineLevel="0" collapsed="false">
      <c r="A84" s="5" t="s">
        <v>387</v>
      </c>
      <c r="B84" s="52" t="n">
        <f aca="false">IF(B82&gt;0,B83/B82,0)</f>
        <v>0</v>
      </c>
    </row>
    <row r="85" customFormat="false" ht="18" hidden="false" customHeight="true" outlineLevel="0" collapsed="false">
      <c r="A85" s="5" t="s">
        <v>388</v>
      </c>
      <c r="B85" s="30" t="n">
        <f aca="false">IF(COUNTA(F26:F38)&gt;0,AVERAGE(F26:F38),0)</f>
        <v>0</v>
      </c>
    </row>
    <row r="86" customFormat="false" ht="18" hidden="false" customHeight="true" outlineLevel="0" collapsed="false">
      <c r="A86" s="5" t="s">
        <v>389</v>
      </c>
      <c r="B86" s="30" t="n">
        <f aca="false">C20</f>
        <v>246.4224</v>
      </c>
    </row>
    <row r="87" customFormat="false" ht="18" hidden="false" customHeight="true" outlineLevel="0" collapsed="false">
      <c r="A87" s="5" t="s">
        <v>390</v>
      </c>
      <c r="B87" s="30" t="n">
        <f aca="false">B85-B86</f>
        <v>-246.4224</v>
      </c>
    </row>
    <row r="88" customFormat="false" ht="18" hidden="false" customHeight="true" outlineLevel="0" collapsed="false">
      <c r="A88" s="5" t="s">
        <v>391</v>
      </c>
      <c r="B88" s="52" t="n">
        <f aca="false">IF(F39&gt;0,E39/F39,0)</f>
        <v>0</v>
      </c>
    </row>
    <row r="89" customFormat="false" ht="18" hidden="false" customHeight="true" outlineLevel="0" collapsed="false">
      <c r="A89" s="5" t="s">
        <v>392</v>
      </c>
      <c r="B89" s="30" t="str">
        <f aca="false">IF(B90&gt;=0.5,"YES — Compliant","NO — Below 50%")</f>
        <v>NO — Below 50%</v>
      </c>
    </row>
    <row r="90" customFormat="false" ht="18" hidden="false" customHeight="true" outlineLevel="0" collapsed="false">
      <c r="A90" s="5" t="s">
        <v>393</v>
      </c>
      <c r="B90" s="26" t="n">
        <f aca="false">J54</f>
        <v>0</v>
      </c>
    </row>
    <row r="91" customFormat="false" ht="18" hidden="false" customHeight="true" outlineLevel="0" collapsed="false">
      <c r="A91" s="5" t="s">
        <v>394</v>
      </c>
      <c r="B91" s="26" t="n">
        <f aca="false">I63</f>
        <v>0</v>
      </c>
    </row>
    <row r="92" customFormat="false" ht="18" hidden="false" customHeight="true" outlineLevel="0" collapsed="false">
      <c r="A92" s="5" t="s">
        <v>395</v>
      </c>
      <c r="B92" s="26" t="n">
        <f aca="false">B90+B91</f>
        <v>0</v>
      </c>
    </row>
    <row r="93" customFormat="false" ht="18" hidden="false" customHeight="true" outlineLevel="0" collapsed="false">
      <c r="A93" s="5" t="s">
        <v>396</v>
      </c>
      <c r="B93" s="26" t="n">
        <f aca="false">'Practice Allocations'!D5-B94</f>
        <v>426861.96</v>
      </c>
    </row>
    <row r="95" customFormat="false" ht="24" hidden="false" customHeight="true" outlineLevel="0" collapsed="false">
      <c r="A95" s="3" t="s">
        <v>397</v>
      </c>
      <c r="B95" s="3"/>
      <c r="C95" s="3"/>
      <c r="D95" s="3"/>
      <c r="E95" s="3"/>
      <c r="F95" s="3"/>
      <c r="G95" s="3"/>
      <c r="H95" s="3"/>
      <c r="I95" s="3"/>
      <c r="J95" s="3"/>
    </row>
    <row r="96" customFormat="false" ht="30" hidden="false" customHeight="true" outlineLevel="0" collapsed="false">
      <c r="A96" s="4" t="s">
        <v>398</v>
      </c>
      <c r="B96" s="4" t="s">
        <v>208</v>
      </c>
      <c r="C96" s="4" t="s">
        <v>399</v>
      </c>
      <c r="D96" s="4" t="s">
        <v>400</v>
      </c>
      <c r="E96" s="4" t="s">
        <v>401</v>
      </c>
      <c r="F96" s="4" t="s">
        <v>205</v>
      </c>
      <c r="G96" s="4" t="s">
        <v>402</v>
      </c>
      <c r="H96" s="4"/>
      <c r="I96" s="4"/>
      <c r="J96" s="4"/>
    </row>
    <row r="97" customFormat="false" ht="18" hidden="false" customHeight="true" outlineLevel="0" collapsed="false">
      <c r="A97" s="63"/>
      <c r="B97" s="63"/>
      <c r="C97" s="63"/>
      <c r="D97" s="56"/>
      <c r="E97" s="63"/>
      <c r="F97" s="63"/>
      <c r="G97" s="63"/>
      <c r="H97" s="7"/>
      <c r="I97" s="7"/>
      <c r="J97" s="7"/>
    </row>
    <row r="98" customFormat="false" ht="18" hidden="false" customHeight="true" outlineLevel="0" collapsed="false">
      <c r="A98" s="63"/>
      <c r="B98" s="63"/>
      <c r="C98" s="63"/>
      <c r="D98" s="56"/>
      <c r="E98" s="63"/>
      <c r="F98" s="63"/>
      <c r="G98" s="63"/>
      <c r="H98" s="49"/>
      <c r="I98" s="49"/>
      <c r="J98" s="49"/>
    </row>
    <row r="99" customFormat="false" ht="18" hidden="false" customHeight="true" outlineLevel="0" collapsed="false">
      <c r="A99" s="63"/>
      <c r="B99" s="63"/>
      <c r="C99" s="63"/>
      <c r="D99" s="56"/>
      <c r="E99" s="63"/>
      <c r="F99" s="63"/>
      <c r="G99" s="63"/>
      <c r="H99" s="7"/>
      <c r="I99" s="7"/>
      <c r="J99" s="7"/>
    </row>
    <row r="100" customFormat="false" ht="18" hidden="false" customHeight="true" outlineLevel="0" collapsed="false">
      <c r="A100" s="63"/>
      <c r="B100" s="63"/>
      <c r="C100" s="63"/>
      <c r="D100" s="56"/>
      <c r="E100" s="63"/>
      <c r="F100" s="63"/>
      <c r="G100" s="63"/>
      <c r="H100" s="49"/>
      <c r="I100" s="49"/>
      <c r="J100" s="49"/>
    </row>
    <row r="101" customFormat="false" ht="18" hidden="false" customHeight="true" outlineLevel="0" collapsed="false">
      <c r="A101" s="63"/>
      <c r="B101" s="63"/>
      <c r="C101" s="63"/>
      <c r="D101" s="56"/>
      <c r="E101" s="63"/>
      <c r="F101" s="63"/>
      <c r="G101" s="63"/>
      <c r="H101" s="7"/>
      <c r="I101" s="7"/>
      <c r="J101" s="7"/>
    </row>
    <row r="103" customFormat="false" ht="24" hidden="false" customHeight="true" outlineLevel="0" collapsed="false">
      <c r="A103" s="3" t="s">
        <v>403</v>
      </c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30" hidden="false" customHeight="true" outlineLevel="0" collapsed="false">
      <c r="A104" s="4" t="s">
        <v>336</v>
      </c>
      <c r="B104" s="4" t="s">
        <v>404</v>
      </c>
      <c r="C104" s="4" t="s">
        <v>405</v>
      </c>
      <c r="D104" s="4" t="s">
        <v>205</v>
      </c>
      <c r="E104" s="4" t="s">
        <v>406</v>
      </c>
      <c r="F104" s="4"/>
      <c r="G104" s="4"/>
      <c r="H104" s="4"/>
      <c r="I104" s="4"/>
      <c r="J104" s="4"/>
    </row>
    <row r="105" customFormat="false" ht="18" hidden="false" customHeight="true" outlineLevel="0" collapsed="false">
      <c r="A105" s="78"/>
      <c r="B105" s="63"/>
      <c r="C105" s="63"/>
      <c r="D105" s="63"/>
      <c r="E105" s="78"/>
      <c r="F105" s="7"/>
      <c r="G105" s="7"/>
      <c r="H105" s="7"/>
      <c r="I105" s="7"/>
      <c r="J105" s="7"/>
    </row>
    <row r="106" customFormat="false" ht="18" hidden="false" customHeight="true" outlineLevel="0" collapsed="false">
      <c r="A106" s="78"/>
      <c r="B106" s="63"/>
      <c r="C106" s="63"/>
      <c r="D106" s="63"/>
      <c r="E106" s="78"/>
      <c r="F106" s="49"/>
      <c r="G106" s="49"/>
      <c r="H106" s="49"/>
      <c r="I106" s="49"/>
      <c r="J106" s="49"/>
    </row>
    <row r="107" customFormat="false" ht="18" hidden="false" customHeight="true" outlineLevel="0" collapsed="false">
      <c r="A107" s="78"/>
      <c r="B107" s="63"/>
      <c r="C107" s="63"/>
      <c r="D107" s="63"/>
      <c r="E107" s="78"/>
      <c r="F107" s="7"/>
      <c r="G107" s="7"/>
      <c r="H107" s="7"/>
      <c r="I107" s="7"/>
      <c r="J107" s="7"/>
    </row>
    <row r="108" customFormat="false" ht="18" hidden="false" customHeight="true" outlineLevel="0" collapsed="false">
      <c r="A108" s="78"/>
      <c r="B108" s="63"/>
      <c r="C108" s="63"/>
      <c r="D108" s="63"/>
      <c r="E108" s="78"/>
      <c r="F108" s="49"/>
      <c r="G108" s="49"/>
      <c r="H108" s="49"/>
      <c r="I108" s="49"/>
      <c r="J108" s="49"/>
    </row>
    <row r="109" customFormat="false" ht="18" hidden="false" customHeight="true" outlineLevel="0" collapsed="false">
      <c r="A109" s="78"/>
      <c r="B109" s="63"/>
      <c r="C109" s="63"/>
      <c r="D109" s="63"/>
      <c r="E109" s="78"/>
      <c r="F109" s="7"/>
      <c r="G109" s="7"/>
      <c r="H109" s="7"/>
      <c r="I109" s="7"/>
      <c r="J109" s="7"/>
    </row>
    <row r="110" customFormat="false" ht="18" hidden="false" customHeight="true" outlineLevel="0" collapsed="false">
      <c r="A110" s="78"/>
      <c r="B110" s="63"/>
      <c r="C110" s="63"/>
      <c r="D110" s="63"/>
      <c r="E110" s="78"/>
      <c r="F110" s="49"/>
      <c r="G110" s="49"/>
      <c r="H110" s="49"/>
      <c r="I110" s="49"/>
      <c r="J110" s="49"/>
    </row>
    <row r="111" customFormat="false" ht="18" hidden="false" customHeight="true" outlineLevel="0" collapsed="false">
      <c r="A111" s="78"/>
      <c r="B111" s="63"/>
      <c r="C111" s="63"/>
      <c r="D111" s="63"/>
      <c r="E111" s="78"/>
      <c r="F111" s="7"/>
      <c r="G111" s="7"/>
      <c r="H111" s="7"/>
      <c r="I111" s="7"/>
      <c r="J111" s="7"/>
    </row>
    <row r="112" customFormat="false" ht="18" hidden="false" customHeight="true" outlineLevel="0" collapsed="false">
      <c r="A112" s="78"/>
      <c r="B112" s="63"/>
      <c r="C112" s="63"/>
      <c r="D112" s="63"/>
      <c r="E112" s="78"/>
      <c r="F112" s="49"/>
      <c r="G112" s="49"/>
      <c r="H112" s="49"/>
      <c r="I112" s="49"/>
      <c r="J112" s="49"/>
    </row>
    <row r="113" customFormat="false" ht="18" hidden="false" customHeight="true" outlineLevel="0" collapsed="false">
      <c r="A113" s="78"/>
      <c r="B113" s="63"/>
      <c r="C113" s="63"/>
      <c r="D113" s="63"/>
      <c r="E113" s="78"/>
      <c r="F113" s="7"/>
      <c r="G113" s="7"/>
      <c r="H113" s="7"/>
      <c r="I113" s="7"/>
      <c r="J113" s="7"/>
    </row>
    <row r="114" customFormat="false" ht="18" hidden="false" customHeight="true" outlineLevel="0" collapsed="false">
      <c r="A114" s="78"/>
      <c r="B114" s="63"/>
      <c r="C114" s="63"/>
      <c r="D114" s="63"/>
      <c r="E114" s="78"/>
      <c r="F114" s="49"/>
      <c r="G114" s="49"/>
      <c r="H114" s="49"/>
      <c r="I114" s="49"/>
      <c r="J114" s="49"/>
    </row>
  </sheetData>
  <mergeCells count="12">
    <mergeCell ref="A1:J1"/>
    <mergeCell ref="A2:J2"/>
    <mergeCell ref="A4:J4"/>
    <mergeCell ref="A11:J11"/>
    <mergeCell ref="A18:J18"/>
    <mergeCell ref="A24:J24"/>
    <mergeCell ref="A42:J42"/>
    <mergeCell ref="A56:J56"/>
    <mergeCell ref="A65:J65"/>
    <mergeCell ref="A81:J81"/>
    <mergeCell ref="A95:J95"/>
    <mergeCell ref="A103:J103"/>
  </mergeCells>
  <dataValidations count="4">
    <dataValidation allowBlank="true" errorStyle="stop" operator="between" showDropDown="false" showErrorMessage="false" showInputMessage="false" sqref="C44:C53" type="list">
      <formula1>"New SDA,Buy-Back,Existing (Buy-Back Pending)"</formula1>
      <formula2>0</formula2>
    </dataValidation>
    <dataValidation allowBlank="true" errorStyle="stop" operator="between" showDropDown="false" showErrorMessage="false" showInputMessage="false" sqref="J58:J62" type="list">
      <formula1>"Draft,Submitted,Under Review,Approved,Rejected"</formula1>
      <formula2>0</formula2>
    </dataValidation>
    <dataValidation allowBlank="true" errorStyle="stop" operator="between" showDropDown="false" showErrorMessage="false" showInputMessage="false" sqref="F97:F101" type="list">
      <formula1>"Planned,Recruiting,In Post,Delayed,Not Started"</formula1>
      <formula2>0</formula2>
    </dataValidation>
    <dataValidation allowBlank="true" errorStyle="stop" operator="between" showDropDown="false" showErrorMessage="false" showInputMessage="false" sqref="D105:D114" type="list">
      <formula1>"Open,In Progress,Complete,On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408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345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A5" s="5" t="s">
        <v>109</v>
      </c>
      <c r="B5" s="5" t="str">
        <f aca="false">Assumptions!A31</f>
        <v>Springfield Surgery</v>
      </c>
    </row>
    <row r="6" customFormat="false" ht="18" hidden="false" customHeight="true" outlineLevel="0" collapsed="false">
      <c r="A6" s="5" t="s">
        <v>55</v>
      </c>
      <c r="B6" s="51" t="n">
        <f aca="false">Assumptions!B31</f>
        <v>12611</v>
      </c>
    </row>
    <row r="7" customFormat="false" ht="18" hidden="false" customHeight="true" outlineLevel="0" collapsed="false">
      <c r="A7" s="5" t="s">
        <v>346</v>
      </c>
      <c r="B7" s="5" t="s">
        <v>64</v>
      </c>
    </row>
    <row r="8" customFormat="false" ht="18" hidden="false" customHeight="true" outlineLevel="0" collapsed="false">
      <c r="A8" s="5" t="s">
        <v>57</v>
      </c>
      <c r="B8" s="5" t="s">
        <v>65</v>
      </c>
    </row>
    <row r="9" customFormat="false" ht="18" hidden="false" customHeight="true" outlineLevel="0" collapsed="false">
      <c r="A9" s="5" t="s">
        <v>347</v>
      </c>
      <c r="B9" s="52" t="n">
        <f aca="false">Assumptions!E31</f>
        <v>0.140772905876049</v>
      </c>
    </row>
    <row r="11" customFormat="false" ht="24" hidden="false" customHeight="true" outlineLevel="0" collapsed="false">
      <c r="A11" s="3" t="s">
        <v>348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4" t="s">
        <v>183</v>
      </c>
      <c r="B12" s="4" t="s">
        <v>4</v>
      </c>
      <c r="C12" s="4"/>
      <c r="D12" s="4"/>
      <c r="E12" s="4"/>
      <c r="F12" s="4"/>
      <c r="G12" s="4"/>
      <c r="H12" s="4"/>
      <c r="I12" s="4"/>
      <c r="J12" s="4"/>
    </row>
    <row r="13" customFormat="false" ht="18" hidden="false" customHeight="true" outlineLevel="0" collapsed="false">
      <c r="A13" s="5" t="s">
        <v>349</v>
      </c>
      <c r="B13" s="26" t="n">
        <f aca="false">'Practice Allocations'!D6</f>
        <v>332047.63</v>
      </c>
    </row>
    <row r="14" customFormat="false" ht="18" hidden="false" customHeight="true" outlineLevel="0" collapsed="false">
      <c r="A14" s="5" t="s">
        <v>350</v>
      </c>
      <c r="B14" s="26" t="n">
        <f aca="false">'Practice Allocations'!E6</f>
        <v>27670.6358333333</v>
      </c>
    </row>
    <row r="15" customFormat="false" ht="18" hidden="false" customHeight="true" outlineLevel="0" collapsed="false">
      <c r="A15" s="5" t="s">
        <v>351</v>
      </c>
      <c r="B15" s="26" t="n">
        <f aca="false">'Practice Allocations'!F6</f>
        <v>249035.7225</v>
      </c>
    </row>
    <row r="16" customFormat="false" ht="18" hidden="false" customHeight="true" outlineLevel="0" collapsed="false">
      <c r="A16" s="5" t="s">
        <v>352</v>
      </c>
      <c r="B16" s="26" t="n">
        <f aca="false">'Practice Allocations'!D6*Assumptions!B16</f>
        <v>83011.9075</v>
      </c>
    </row>
    <row r="18" customFormat="false" ht="24" hidden="false" customHeight="true" outlineLevel="0" collapsed="false">
      <c r="A18" s="3" t="s">
        <v>353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30" hidden="false" customHeight="true" outlineLevel="0" collapsed="false">
      <c r="A19" s="4" t="s">
        <v>274</v>
      </c>
      <c r="B19" s="4" t="s">
        <v>354</v>
      </c>
      <c r="C19" s="4" t="s">
        <v>355</v>
      </c>
      <c r="D19" s="4" t="s">
        <v>102</v>
      </c>
      <c r="E19" s="4" t="s">
        <v>103</v>
      </c>
      <c r="F19" s="4" t="s">
        <v>356</v>
      </c>
      <c r="G19" s="4"/>
      <c r="H19" s="4"/>
      <c r="I19" s="4"/>
      <c r="J19" s="4"/>
    </row>
    <row r="20" customFormat="false" ht="18" hidden="false" customHeight="true" outlineLevel="0" collapsed="false">
      <c r="A20" s="71" t="s">
        <v>170</v>
      </c>
      <c r="B20" s="65" t="n">
        <f aca="false">Assumptions!B10</f>
        <v>39</v>
      </c>
      <c r="C20" s="72" t="n">
        <f aca="false">'Practice Allocations'!G6</f>
        <v>191.6872</v>
      </c>
      <c r="D20" s="73" t="n">
        <f aca="false">'Practice Allocations'!H6</f>
        <v>95.8436</v>
      </c>
      <c r="E20" s="73" t="n">
        <f aca="false">'Practice Allocations'!I6</f>
        <v>95.8436</v>
      </c>
      <c r="F20" s="74" t="n">
        <f aca="false">B20*C20</f>
        <v>7475.8008</v>
      </c>
    </row>
    <row r="21" customFormat="false" ht="18" hidden="false" customHeight="true" outlineLevel="0" collapsed="false">
      <c r="A21" s="47" t="s">
        <v>278</v>
      </c>
      <c r="B21" s="75" t="n">
        <f aca="false">Assumptions!B11</f>
        <v>13</v>
      </c>
      <c r="C21" s="76" t="n">
        <f aca="false">'Practice Allocations'!J6</f>
        <v>229.5202</v>
      </c>
      <c r="D21" s="77" t="n">
        <f aca="false">'Practice Allocations'!K6</f>
        <v>114.7601</v>
      </c>
      <c r="E21" s="77" t="n">
        <f aca="false">'Practice Allocations'!L6</f>
        <v>114.7601</v>
      </c>
      <c r="F21" s="48" t="n">
        <f aca="false">B21*C21</f>
        <v>2983.7626</v>
      </c>
    </row>
    <row r="22" customFormat="false" ht="18" hidden="false" customHeight="true" outlineLevel="0" collapsed="false">
      <c r="A22" s="20" t="s">
        <v>265</v>
      </c>
      <c r="B22" s="21" t="n">
        <f aca="false">B20+B21</f>
        <v>52</v>
      </c>
      <c r="C22" s="22"/>
      <c r="D22" s="22"/>
      <c r="E22" s="22"/>
      <c r="F22" s="21" t="n">
        <f aca="false">'Practice Allocations'!M6</f>
        <v>10459.5634</v>
      </c>
    </row>
    <row r="24" customFormat="false" ht="24" hidden="false" customHeight="true" outlineLevel="0" collapsed="false">
      <c r="A24" s="3" t="s">
        <v>357</v>
      </c>
      <c r="B24" s="3"/>
      <c r="C24" s="3"/>
      <c r="D24" s="3"/>
      <c r="E24" s="3"/>
      <c r="F24" s="3"/>
      <c r="G24" s="3"/>
      <c r="H24" s="3"/>
      <c r="I24" s="3"/>
      <c r="J24" s="3"/>
    </row>
    <row r="25" customFormat="false" ht="30" hidden="false" customHeight="true" outlineLevel="0" collapsed="false">
      <c r="A25" s="4" t="s">
        <v>273</v>
      </c>
      <c r="B25" s="4" t="s">
        <v>274</v>
      </c>
      <c r="C25" s="4" t="s">
        <v>358</v>
      </c>
      <c r="D25" s="4" t="s">
        <v>359</v>
      </c>
      <c r="E25" s="4" t="s">
        <v>360</v>
      </c>
      <c r="F25" s="4" t="s">
        <v>275</v>
      </c>
      <c r="G25" s="4" t="s">
        <v>112</v>
      </c>
      <c r="H25" s="4" t="s">
        <v>361</v>
      </c>
      <c r="I25" s="4" t="s">
        <v>362</v>
      </c>
      <c r="J25" s="4" t="s">
        <v>363</v>
      </c>
    </row>
    <row r="26" customFormat="false" ht="18" hidden="false" customHeight="true" outlineLevel="0" collapsed="false">
      <c r="A26" s="18" t="n">
        <v>1</v>
      </c>
      <c r="B26" s="61" t="s">
        <v>170</v>
      </c>
      <c r="C26" s="31" t="n">
        <f aca="false">C20</f>
        <v>191.6872</v>
      </c>
      <c r="D26" s="55"/>
      <c r="E26" s="55"/>
      <c r="F26" s="51" t="n">
        <f aca="false">D26+E26</f>
        <v>0</v>
      </c>
      <c r="G26" s="31" t="n">
        <f aca="false">F26-C26</f>
        <v>-191.6872</v>
      </c>
      <c r="H26" s="19" t="n">
        <f aca="false">IF(C26&gt;0,F26/C26,0)</f>
        <v>0</v>
      </c>
      <c r="I26" s="55"/>
      <c r="J26" s="55"/>
    </row>
    <row r="27" customFormat="false" ht="18" hidden="false" customHeight="true" outlineLevel="0" collapsed="false">
      <c r="A27" s="18" t="n">
        <v>2</v>
      </c>
      <c r="B27" s="61" t="s">
        <v>170</v>
      </c>
      <c r="C27" s="31" t="n">
        <f aca="false">C20</f>
        <v>191.6872</v>
      </c>
      <c r="D27" s="55"/>
      <c r="E27" s="55"/>
      <c r="F27" s="51" t="n">
        <f aca="false">D27+E27</f>
        <v>0</v>
      </c>
      <c r="G27" s="31" t="n">
        <f aca="false">F27-C27</f>
        <v>-191.6872</v>
      </c>
      <c r="H27" s="19" t="n">
        <f aca="false">IF(C27&gt;0,F27/C27,0)</f>
        <v>0</v>
      </c>
      <c r="I27" s="55"/>
      <c r="J27" s="55"/>
    </row>
    <row r="28" customFormat="false" ht="18" hidden="false" customHeight="true" outlineLevel="0" collapsed="false">
      <c r="A28" s="18" t="n">
        <v>3</v>
      </c>
      <c r="B28" s="61" t="s">
        <v>170</v>
      </c>
      <c r="C28" s="31" t="n">
        <f aca="false">C20</f>
        <v>191.6872</v>
      </c>
      <c r="D28" s="55"/>
      <c r="E28" s="55"/>
      <c r="F28" s="51" t="n">
        <f aca="false">D28+E28</f>
        <v>0</v>
      </c>
      <c r="G28" s="31" t="n">
        <f aca="false">F28-C28</f>
        <v>-191.6872</v>
      </c>
      <c r="H28" s="19" t="n">
        <f aca="false">IF(C28&gt;0,F28/C28,0)</f>
        <v>0</v>
      </c>
      <c r="I28" s="55"/>
      <c r="J28" s="55"/>
    </row>
    <row r="29" customFormat="false" ht="18" hidden="false" customHeight="true" outlineLevel="0" collapsed="false">
      <c r="A29" s="18" t="n">
        <v>4</v>
      </c>
      <c r="B29" s="61" t="s">
        <v>170</v>
      </c>
      <c r="C29" s="31" t="n">
        <f aca="false">C20</f>
        <v>191.6872</v>
      </c>
      <c r="D29" s="55"/>
      <c r="E29" s="55"/>
      <c r="F29" s="51" t="n">
        <f aca="false">D29+E29</f>
        <v>0</v>
      </c>
      <c r="G29" s="31" t="n">
        <f aca="false">F29-C29</f>
        <v>-191.6872</v>
      </c>
      <c r="H29" s="19" t="n">
        <f aca="false">IF(C29&gt;0,F29/C29,0)</f>
        <v>0</v>
      </c>
      <c r="I29" s="55"/>
      <c r="J29" s="55"/>
    </row>
    <row r="30" customFormat="false" ht="18" hidden="false" customHeight="true" outlineLevel="0" collapsed="false">
      <c r="A30" s="18" t="n">
        <v>5</v>
      </c>
      <c r="B30" s="61" t="s">
        <v>170</v>
      </c>
      <c r="C30" s="31" t="n">
        <f aca="false">C20</f>
        <v>191.6872</v>
      </c>
      <c r="D30" s="55"/>
      <c r="E30" s="55"/>
      <c r="F30" s="51" t="n">
        <f aca="false">D30+E30</f>
        <v>0</v>
      </c>
      <c r="G30" s="31" t="n">
        <f aca="false">F30-C30</f>
        <v>-191.6872</v>
      </c>
      <c r="H30" s="19" t="n">
        <f aca="false">IF(C30&gt;0,F30/C30,0)</f>
        <v>0</v>
      </c>
      <c r="I30" s="55"/>
      <c r="J30" s="55"/>
    </row>
    <row r="31" customFormat="false" ht="18" hidden="false" customHeight="true" outlineLevel="0" collapsed="false">
      <c r="A31" s="18" t="n">
        <v>6</v>
      </c>
      <c r="B31" s="61" t="s">
        <v>170</v>
      </c>
      <c r="C31" s="31" t="n">
        <f aca="false">C20</f>
        <v>191.6872</v>
      </c>
      <c r="D31" s="55"/>
      <c r="E31" s="55"/>
      <c r="F31" s="51" t="n">
        <f aca="false">D31+E31</f>
        <v>0</v>
      </c>
      <c r="G31" s="31" t="n">
        <f aca="false">F31-C31</f>
        <v>-191.6872</v>
      </c>
      <c r="H31" s="19" t="n">
        <f aca="false">IF(C31&gt;0,F31/C31,0)</f>
        <v>0</v>
      </c>
      <c r="I31" s="55"/>
      <c r="J31" s="55"/>
    </row>
    <row r="32" customFormat="false" ht="18" hidden="false" customHeight="true" outlineLevel="0" collapsed="false">
      <c r="A32" s="18" t="n">
        <v>7</v>
      </c>
      <c r="B32" s="61" t="s">
        <v>170</v>
      </c>
      <c r="C32" s="31" t="n">
        <f aca="false">C20</f>
        <v>191.6872</v>
      </c>
      <c r="D32" s="55"/>
      <c r="E32" s="55"/>
      <c r="F32" s="51" t="n">
        <f aca="false">D32+E32</f>
        <v>0</v>
      </c>
      <c r="G32" s="31" t="n">
        <f aca="false">F32-C32</f>
        <v>-191.6872</v>
      </c>
      <c r="H32" s="19" t="n">
        <f aca="false">IF(C32&gt;0,F32/C32,0)</f>
        <v>0</v>
      </c>
      <c r="I32" s="55"/>
      <c r="J32" s="55"/>
    </row>
    <row r="33" customFormat="false" ht="18" hidden="false" customHeight="true" outlineLevel="0" collapsed="false">
      <c r="A33" s="18" t="n">
        <v>8</v>
      </c>
      <c r="B33" s="61" t="s">
        <v>170</v>
      </c>
      <c r="C33" s="31" t="n">
        <f aca="false">C20</f>
        <v>191.6872</v>
      </c>
      <c r="D33" s="55"/>
      <c r="E33" s="55"/>
      <c r="F33" s="51" t="n">
        <f aca="false">D33+E33</f>
        <v>0</v>
      </c>
      <c r="G33" s="31" t="n">
        <f aca="false">F33-C33</f>
        <v>-191.6872</v>
      </c>
      <c r="H33" s="19" t="n">
        <f aca="false">IF(C33&gt;0,F33/C33,0)</f>
        <v>0</v>
      </c>
      <c r="I33" s="55"/>
      <c r="J33" s="55"/>
    </row>
    <row r="34" customFormat="false" ht="18" hidden="false" customHeight="true" outlineLevel="0" collapsed="false">
      <c r="A34" s="18" t="n">
        <v>9</v>
      </c>
      <c r="B34" s="61" t="s">
        <v>170</v>
      </c>
      <c r="C34" s="31" t="n">
        <f aca="false">C20</f>
        <v>191.6872</v>
      </c>
      <c r="D34" s="55"/>
      <c r="E34" s="55"/>
      <c r="F34" s="51" t="n">
        <f aca="false">D34+E34</f>
        <v>0</v>
      </c>
      <c r="G34" s="31" t="n">
        <f aca="false">F34-C34</f>
        <v>-191.6872</v>
      </c>
      <c r="H34" s="19" t="n">
        <f aca="false">IF(C34&gt;0,F34/C34,0)</f>
        <v>0</v>
      </c>
      <c r="I34" s="55"/>
      <c r="J34" s="55"/>
    </row>
    <row r="35" customFormat="false" ht="18" hidden="false" customHeight="true" outlineLevel="0" collapsed="false">
      <c r="A35" s="18" t="n">
        <v>10</v>
      </c>
      <c r="B35" s="61" t="s">
        <v>170</v>
      </c>
      <c r="C35" s="31" t="n">
        <f aca="false">C20</f>
        <v>191.6872</v>
      </c>
      <c r="D35" s="55"/>
      <c r="E35" s="55"/>
      <c r="F35" s="51" t="n">
        <f aca="false">D35+E35</f>
        <v>0</v>
      </c>
      <c r="G35" s="31" t="n">
        <f aca="false">F35-C35</f>
        <v>-191.6872</v>
      </c>
      <c r="H35" s="19" t="n">
        <f aca="false">IF(C35&gt;0,F35/C35,0)</f>
        <v>0</v>
      </c>
      <c r="I35" s="55"/>
      <c r="J35" s="55"/>
    </row>
    <row r="36" customFormat="false" ht="18" hidden="false" customHeight="true" outlineLevel="0" collapsed="false">
      <c r="A36" s="18" t="n">
        <v>11</v>
      </c>
      <c r="B36" s="61" t="s">
        <v>170</v>
      </c>
      <c r="C36" s="31" t="n">
        <f aca="false">C20</f>
        <v>191.6872</v>
      </c>
      <c r="D36" s="55"/>
      <c r="E36" s="55"/>
      <c r="F36" s="51" t="n">
        <f aca="false">D36+E36</f>
        <v>0</v>
      </c>
      <c r="G36" s="31" t="n">
        <f aca="false">F36-C36</f>
        <v>-191.6872</v>
      </c>
      <c r="H36" s="19" t="n">
        <f aca="false">IF(C36&gt;0,F36/C36,0)</f>
        <v>0</v>
      </c>
      <c r="I36" s="55"/>
      <c r="J36" s="55"/>
    </row>
    <row r="37" customFormat="false" ht="18" hidden="false" customHeight="true" outlineLevel="0" collapsed="false">
      <c r="A37" s="18" t="n">
        <v>12</v>
      </c>
      <c r="B37" s="61" t="s">
        <v>170</v>
      </c>
      <c r="C37" s="31" t="n">
        <f aca="false">C20</f>
        <v>191.6872</v>
      </c>
      <c r="D37" s="55"/>
      <c r="E37" s="55"/>
      <c r="F37" s="51" t="n">
        <f aca="false">D37+E37</f>
        <v>0</v>
      </c>
      <c r="G37" s="31" t="n">
        <f aca="false">F37-C37</f>
        <v>-191.6872</v>
      </c>
      <c r="H37" s="19" t="n">
        <f aca="false">IF(C37&gt;0,F37/C37,0)</f>
        <v>0</v>
      </c>
      <c r="I37" s="55"/>
      <c r="J37" s="55"/>
    </row>
    <row r="38" customFormat="false" ht="18" hidden="false" customHeight="true" outlineLevel="0" collapsed="false">
      <c r="A38" s="18" t="n">
        <v>13</v>
      </c>
      <c r="B38" s="61" t="s">
        <v>170</v>
      </c>
      <c r="C38" s="31" t="n">
        <f aca="false">C20</f>
        <v>191.6872</v>
      </c>
      <c r="D38" s="55"/>
      <c r="E38" s="55"/>
      <c r="F38" s="51" t="n">
        <f aca="false">D38+E38</f>
        <v>0</v>
      </c>
      <c r="G38" s="31" t="n">
        <f aca="false">F38-C38</f>
        <v>-191.6872</v>
      </c>
      <c r="H38" s="19" t="n">
        <f aca="false">IF(C38&gt;0,F38/C38,0)</f>
        <v>0</v>
      </c>
      <c r="I38" s="55"/>
      <c r="J38" s="55"/>
    </row>
    <row r="39" customFormat="false" ht="18" hidden="false" customHeight="true" outlineLevel="0" collapsed="false">
      <c r="A39" s="20" t="s">
        <v>364</v>
      </c>
      <c r="B39" s="22"/>
      <c r="C39" s="21" t="n">
        <f aca="false">SUM(C26:C38)</f>
        <v>2491.9336</v>
      </c>
      <c r="D39" s="21" t="n">
        <f aca="false">SUM(D26:D38)</f>
        <v>0</v>
      </c>
      <c r="E39" s="21" t="n">
        <f aca="false">SUM(E26:E38)</f>
        <v>0</v>
      </c>
      <c r="F39" s="21" t="n">
        <f aca="false">SUM(F26:F38)</f>
        <v>0</v>
      </c>
      <c r="G39" s="21" t="n">
        <f aca="false">F39-C39</f>
        <v>-2491.9336</v>
      </c>
      <c r="H39" s="23" t="n">
        <f aca="false">IF(C39&gt;0,F39/C39,0)</f>
        <v>0</v>
      </c>
      <c r="I39" s="21" t="n">
        <f aca="false">SUM(I26:I38)</f>
        <v>0</v>
      </c>
      <c r="J39" s="21" t="n">
        <f aca="false">SUM(J26:J38)</f>
        <v>0</v>
      </c>
    </row>
    <row r="40" customFormat="false" ht="18" hidden="false" customHeight="true" outlineLevel="0" collapsed="false">
      <c r="A40" s="5" t="s">
        <v>365</v>
      </c>
      <c r="B40" s="5" t="str">
        <f aca="false">IF(H39&gt;=1,"GREEN",IF(H39&gt;=0.8,"AMBER","RED"))</f>
        <v>RED</v>
      </c>
    </row>
    <row r="42" customFormat="false" ht="24" hidden="false" customHeight="true" outlineLevel="0" collapsed="false">
      <c r="A42" s="3" t="s">
        <v>366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30" hidden="false" customHeight="true" outlineLevel="0" collapsed="false">
      <c r="A43" s="4" t="s">
        <v>174</v>
      </c>
      <c r="B43" s="4" t="s">
        <v>72</v>
      </c>
      <c r="C43" s="4" t="s">
        <v>281</v>
      </c>
      <c r="D43" s="4" t="s">
        <v>197</v>
      </c>
      <c r="E43" s="4" t="s">
        <v>367</v>
      </c>
      <c r="F43" s="4" t="s">
        <v>368</v>
      </c>
      <c r="G43" s="4" t="s">
        <v>282</v>
      </c>
      <c r="H43" s="4" t="s">
        <v>199</v>
      </c>
      <c r="I43" s="4" t="s">
        <v>283</v>
      </c>
      <c r="J43" s="4" t="s">
        <v>369</v>
      </c>
    </row>
    <row r="44" customFormat="false" ht="18" hidden="false" customHeight="true" outlineLevel="0" collapsed="false">
      <c r="A44" s="63"/>
      <c r="B44" s="63"/>
      <c r="C44" s="63"/>
      <c r="D44" s="55"/>
      <c r="E44" s="55"/>
      <c r="F44" s="18" t="str">
        <f aca="false">IF(D44="","",D44*E44)</f>
        <v/>
      </c>
      <c r="G44" s="56"/>
      <c r="H44" s="29" t="str">
        <f aca="false">IF(D44="","",D44*G44)</f>
        <v/>
      </c>
      <c r="I44" s="29" t="str">
        <f aca="false">IF(H44="","",H44*Assumptions!B17)</f>
        <v/>
      </c>
      <c r="J44" s="26" t="str">
        <f aca="false">IF(H44="","",H44+I44)</f>
        <v/>
      </c>
    </row>
    <row r="45" customFormat="false" ht="18" hidden="false" customHeight="true" outlineLevel="0" collapsed="false">
      <c r="A45" s="63"/>
      <c r="B45" s="63"/>
      <c r="C45" s="63"/>
      <c r="D45" s="55"/>
      <c r="E45" s="55"/>
      <c r="F45" s="18" t="str">
        <f aca="false">IF(D45="","",D45*E45)</f>
        <v/>
      </c>
      <c r="G45" s="56"/>
      <c r="H45" s="29" t="str">
        <f aca="false">IF(D45="","",D45*G45)</f>
        <v/>
      </c>
      <c r="I45" s="29" t="str">
        <f aca="false">IF(H45="","",H45*Assumptions!B17)</f>
        <v/>
      </c>
      <c r="J45" s="26" t="str">
        <f aca="false">IF(H45="","",H45+I45)</f>
        <v/>
      </c>
    </row>
    <row r="46" customFormat="false" ht="18" hidden="false" customHeight="true" outlineLevel="0" collapsed="false">
      <c r="A46" s="63"/>
      <c r="B46" s="63"/>
      <c r="C46" s="63"/>
      <c r="D46" s="55"/>
      <c r="E46" s="55"/>
      <c r="F46" s="18" t="str">
        <f aca="false">IF(D46="","",D46*E46)</f>
        <v/>
      </c>
      <c r="G46" s="56"/>
      <c r="H46" s="29" t="str">
        <f aca="false">IF(D46="","",D46*G46)</f>
        <v/>
      </c>
      <c r="I46" s="29" t="str">
        <f aca="false">IF(H46="","",H46*Assumptions!B17)</f>
        <v/>
      </c>
      <c r="J46" s="26" t="str">
        <f aca="false">IF(H46="","",H46+I46)</f>
        <v/>
      </c>
    </row>
    <row r="47" customFormat="false" ht="18" hidden="false" customHeight="true" outlineLevel="0" collapsed="false">
      <c r="A47" s="63"/>
      <c r="B47" s="63"/>
      <c r="C47" s="63"/>
      <c r="D47" s="55"/>
      <c r="E47" s="55"/>
      <c r="F47" s="18" t="str">
        <f aca="false">IF(D47="","",D47*E47)</f>
        <v/>
      </c>
      <c r="G47" s="56"/>
      <c r="H47" s="29" t="str">
        <f aca="false">IF(D47="","",D47*G47)</f>
        <v/>
      </c>
      <c r="I47" s="29" t="str">
        <f aca="false">IF(H47="","",H47*Assumptions!B17)</f>
        <v/>
      </c>
      <c r="J47" s="26" t="str">
        <f aca="false">IF(H47="","",H47+I47)</f>
        <v/>
      </c>
    </row>
    <row r="48" customFormat="false" ht="18" hidden="false" customHeight="true" outlineLevel="0" collapsed="false">
      <c r="A48" s="63"/>
      <c r="B48" s="63"/>
      <c r="C48" s="63"/>
      <c r="D48" s="55"/>
      <c r="E48" s="55"/>
      <c r="F48" s="18" t="str">
        <f aca="false">IF(D48="","",D48*E48)</f>
        <v/>
      </c>
      <c r="G48" s="56"/>
      <c r="H48" s="29" t="str">
        <f aca="false">IF(D48="","",D48*G48)</f>
        <v/>
      </c>
      <c r="I48" s="29" t="str">
        <f aca="false">IF(H48="","",H48*Assumptions!B17)</f>
        <v/>
      </c>
      <c r="J48" s="26" t="str">
        <f aca="false">IF(H48="","",H48+I48)</f>
        <v/>
      </c>
    </row>
    <row r="49" customFormat="false" ht="18" hidden="false" customHeight="true" outlineLevel="0" collapsed="false">
      <c r="A49" s="63"/>
      <c r="B49" s="63"/>
      <c r="C49" s="63"/>
      <c r="D49" s="55"/>
      <c r="E49" s="55"/>
      <c r="F49" s="18" t="str">
        <f aca="false">IF(D49="","",D49*E49)</f>
        <v/>
      </c>
      <c r="G49" s="56"/>
      <c r="H49" s="29" t="str">
        <f aca="false">IF(D49="","",D49*G49)</f>
        <v/>
      </c>
      <c r="I49" s="29" t="str">
        <f aca="false">IF(H49="","",H49*Assumptions!B17)</f>
        <v/>
      </c>
      <c r="J49" s="26" t="str">
        <f aca="false">IF(H49="","",H49+I49)</f>
        <v/>
      </c>
    </row>
    <row r="50" customFormat="false" ht="18" hidden="false" customHeight="true" outlineLevel="0" collapsed="false">
      <c r="A50" s="63"/>
      <c r="B50" s="63"/>
      <c r="C50" s="63"/>
      <c r="D50" s="55"/>
      <c r="E50" s="55"/>
      <c r="F50" s="18" t="str">
        <f aca="false">IF(D50="","",D50*E50)</f>
        <v/>
      </c>
      <c r="G50" s="56"/>
      <c r="H50" s="29" t="str">
        <f aca="false">IF(D50="","",D50*G50)</f>
        <v/>
      </c>
      <c r="I50" s="29" t="str">
        <f aca="false">IF(H50="","",H50*Assumptions!B17)</f>
        <v/>
      </c>
      <c r="J50" s="26" t="str">
        <f aca="false">IF(H50="","",H50+I50)</f>
        <v/>
      </c>
    </row>
    <row r="51" customFormat="false" ht="18" hidden="false" customHeight="true" outlineLevel="0" collapsed="false">
      <c r="A51" s="63"/>
      <c r="B51" s="63"/>
      <c r="C51" s="63"/>
      <c r="D51" s="55"/>
      <c r="E51" s="55"/>
      <c r="F51" s="18" t="str">
        <f aca="false">IF(D51="","",D51*E51)</f>
        <v/>
      </c>
      <c r="G51" s="56"/>
      <c r="H51" s="29" t="str">
        <f aca="false">IF(D51="","",D51*G51)</f>
        <v/>
      </c>
      <c r="I51" s="29" t="str">
        <f aca="false">IF(H51="","",H51*Assumptions!B17)</f>
        <v/>
      </c>
      <c r="J51" s="26" t="str">
        <f aca="false">IF(H51="","",H51+I51)</f>
        <v/>
      </c>
    </row>
    <row r="52" customFormat="false" ht="18" hidden="false" customHeight="true" outlineLevel="0" collapsed="false">
      <c r="A52" s="63"/>
      <c r="B52" s="63"/>
      <c r="C52" s="63"/>
      <c r="D52" s="55"/>
      <c r="E52" s="55"/>
      <c r="F52" s="18" t="str">
        <f aca="false">IF(D52="","",D52*E52)</f>
        <v/>
      </c>
      <c r="G52" s="56"/>
      <c r="H52" s="29" t="str">
        <f aca="false">IF(D52="","",D52*G52)</f>
        <v/>
      </c>
      <c r="I52" s="29" t="str">
        <f aca="false">IF(H52="","",H52*Assumptions!B17)</f>
        <v/>
      </c>
      <c r="J52" s="26" t="str">
        <f aca="false">IF(H52="","",H52+I52)</f>
        <v/>
      </c>
    </row>
    <row r="53" customFormat="false" ht="18" hidden="false" customHeight="true" outlineLevel="0" collapsed="false">
      <c r="A53" s="63"/>
      <c r="B53" s="63"/>
      <c r="C53" s="63"/>
      <c r="D53" s="55"/>
      <c r="E53" s="55"/>
      <c r="F53" s="18" t="str">
        <f aca="false">IF(D53="","",D53*E53)</f>
        <v/>
      </c>
      <c r="G53" s="56"/>
      <c r="H53" s="29" t="str">
        <f aca="false">IF(D53="","",D53*G53)</f>
        <v/>
      </c>
      <c r="I53" s="29" t="str">
        <f aca="false">IF(H53="","",H53*Assumptions!B17)</f>
        <v/>
      </c>
      <c r="J53" s="26" t="str">
        <f aca="false">IF(H53="","",H53+I53)</f>
        <v/>
      </c>
    </row>
    <row r="54" customFormat="false" ht="18" hidden="false" customHeight="true" outlineLevel="0" collapsed="false">
      <c r="A54" s="20" t="s">
        <v>370</v>
      </c>
      <c r="B54" s="22"/>
      <c r="C54" s="22"/>
      <c r="D54" s="21" t="n">
        <f aca="false">SUM(D44:D53)</f>
        <v>0</v>
      </c>
      <c r="E54" s="22"/>
      <c r="F54" s="21" t="n">
        <f aca="false">SUM(F44:F53)</f>
        <v>0</v>
      </c>
      <c r="G54" s="22"/>
      <c r="H54" s="32" t="n">
        <f aca="false">SUM(H44:H53)</f>
        <v>0</v>
      </c>
      <c r="I54" s="32" t="n">
        <f aca="false">SUM(I44:I53)</f>
        <v>0</v>
      </c>
      <c r="J54" s="32" t="n">
        <f aca="false">SUM(J44:J53)</f>
        <v>0</v>
      </c>
    </row>
    <row r="56" customFormat="false" ht="24" hidden="false" customHeight="true" outlineLevel="0" collapsed="false">
      <c r="A56" s="3" t="s">
        <v>371</v>
      </c>
      <c r="B56" s="3"/>
      <c r="C56" s="3"/>
      <c r="D56" s="3"/>
      <c r="E56" s="3"/>
      <c r="F56" s="3"/>
      <c r="G56" s="3"/>
      <c r="H56" s="3"/>
      <c r="I56" s="3"/>
      <c r="J56" s="3"/>
    </row>
    <row r="57" customFormat="false" ht="30" hidden="false" customHeight="true" outlineLevel="0" collapsed="false">
      <c r="A57" s="4" t="s">
        <v>174</v>
      </c>
      <c r="B57" s="4" t="s">
        <v>72</v>
      </c>
      <c r="C57" s="4" t="s">
        <v>197</v>
      </c>
      <c r="D57" s="4" t="s">
        <v>372</v>
      </c>
      <c r="E57" s="4" t="s">
        <v>373</v>
      </c>
      <c r="F57" s="4" t="s">
        <v>283</v>
      </c>
      <c r="G57" s="4" t="s">
        <v>374</v>
      </c>
      <c r="H57" s="4" t="s">
        <v>202</v>
      </c>
      <c r="I57" s="4" t="s">
        <v>375</v>
      </c>
      <c r="J57" s="4" t="s">
        <v>205</v>
      </c>
    </row>
    <row r="58" customFormat="false" ht="18" hidden="false" customHeight="true" outlineLevel="0" collapsed="false">
      <c r="A58" s="63"/>
      <c r="B58" s="63"/>
      <c r="C58" s="55"/>
      <c r="D58" s="56"/>
      <c r="E58" s="29" t="str">
        <f aca="false">IF(C58="","",C58*D58)</f>
        <v/>
      </c>
      <c r="F58" s="29" t="str">
        <f aca="false">IF(E58="","",E58*Assumptions!B17)</f>
        <v/>
      </c>
      <c r="G58" s="26" t="str">
        <f aca="false">IF(E58="","",E58+F58)</f>
        <v/>
      </c>
      <c r="H58" s="57"/>
      <c r="I58" s="26" t="str">
        <f aca="false">IF(G58="","",G58*H58)</f>
        <v/>
      </c>
      <c r="J58" s="63"/>
    </row>
    <row r="59" customFormat="false" ht="18" hidden="false" customHeight="true" outlineLevel="0" collapsed="false">
      <c r="A59" s="63"/>
      <c r="B59" s="63"/>
      <c r="C59" s="55"/>
      <c r="D59" s="56"/>
      <c r="E59" s="29" t="str">
        <f aca="false">IF(C59="","",C59*D59)</f>
        <v/>
      </c>
      <c r="F59" s="29" t="str">
        <f aca="false">IF(E59="","",E59*Assumptions!B17)</f>
        <v/>
      </c>
      <c r="G59" s="26" t="str">
        <f aca="false">IF(E59="","",E59+F59)</f>
        <v/>
      </c>
      <c r="H59" s="57"/>
      <c r="I59" s="26" t="str">
        <f aca="false">IF(G59="","",G59*H59)</f>
        <v/>
      </c>
      <c r="J59" s="63"/>
    </row>
    <row r="60" customFormat="false" ht="18" hidden="false" customHeight="true" outlineLevel="0" collapsed="false">
      <c r="A60" s="63"/>
      <c r="B60" s="63"/>
      <c r="C60" s="55"/>
      <c r="D60" s="56"/>
      <c r="E60" s="29" t="str">
        <f aca="false">IF(C60="","",C60*D60)</f>
        <v/>
      </c>
      <c r="F60" s="29" t="str">
        <f aca="false">IF(E60="","",E60*Assumptions!B17)</f>
        <v/>
      </c>
      <c r="G60" s="26" t="str">
        <f aca="false">IF(E60="","",E60+F60)</f>
        <v/>
      </c>
      <c r="H60" s="57"/>
      <c r="I60" s="26" t="str">
        <f aca="false">IF(G60="","",G60*H60)</f>
        <v/>
      </c>
      <c r="J60" s="63"/>
    </row>
    <row r="61" customFormat="false" ht="18" hidden="false" customHeight="true" outlineLevel="0" collapsed="false">
      <c r="A61" s="63"/>
      <c r="B61" s="63"/>
      <c r="C61" s="55"/>
      <c r="D61" s="56"/>
      <c r="E61" s="29" t="str">
        <f aca="false">IF(C61="","",C61*D61)</f>
        <v/>
      </c>
      <c r="F61" s="29" t="str">
        <f aca="false">IF(E61="","",E61*Assumptions!B17)</f>
        <v/>
      </c>
      <c r="G61" s="26" t="str">
        <f aca="false">IF(E61="","",E61+F61)</f>
        <v/>
      </c>
      <c r="H61" s="57"/>
      <c r="I61" s="26" t="str">
        <f aca="false">IF(G61="","",G61*H61)</f>
        <v/>
      </c>
      <c r="J61" s="63"/>
    </row>
    <row r="62" customFormat="false" ht="18" hidden="false" customHeight="true" outlineLevel="0" collapsed="false">
      <c r="A62" s="63"/>
      <c r="B62" s="63"/>
      <c r="C62" s="55"/>
      <c r="D62" s="56"/>
      <c r="E62" s="29" t="str">
        <f aca="false">IF(C62="","",C62*D62)</f>
        <v/>
      </c>
      <c r="F62" s="29" t="str">
        <f aca="false">IF(E62="","",E62*Assumptions!B17)</f>
        <v/>
      </c>
      <c r="G62" s="26" t="str">
        <f aca="false">IF(E62="","",E62+F62)</f>
        <v/>
      </c>
      <c r="H62" s="57"/>
      <c r="I62" s="26" t="str">
        <f aca="false">IF(G62="","",G62*H62)</f>
        <v/>
      </c>
      <c r="J62" s="63"/>
    </row>
    <row r="63" customFormat="false" ht="18" hidden="false" customHeight="true" outlineLevel="0" collapsed="false">
      <c r="A63" s="20" t="s">
        <v>376</v>
      </c>
      <c r="B63" s="22"/>
      <c r="C63" s="21" t="n">
        <f aca="false">SUM(C58:C62)</f>
        <v>0</v>
      </c>
      <c r="D63" s="22"/>
      <c r="E63" s="32" t="n">
        <f aca="false">SUM(E58:E62)</f>
        <v>0</v>
      </c>
      <c r="F63" s="32" t="n">
        <f aca="false">SUM(F58:F62)</f>
        <v>0</v>
      </c>
      <c r="G63" s="32" t="n">
        <f aca="false">SUM(G58:G62)</f>
        <v>0</v>
      </c>
      <c r="H63" s="22"/>
      <c r="I63" s="32" t="n">
        <f aca="false">SUM(I58:I62)</f>
        <v>0</v>
      </c>
      <c r="J63" s="22"/>
    </row>
    <row r="65" customFormat="false" ht="24" hidden="false" customHeight="true" outlineLevel="0" collapsed="false">
      <c r="A65" s="3" t="s">
        <v>377</v>
      </c>
      <c r="B65" s="3"/>
      <c r="C65" s="3"/>
      <c r="D65" s="3"/>
      <c r="E65" s="3"/>
      <c r="F65" s="3"/>
      <c r="G65" s="3"/>
      <c r="H65" s="3"/>
      <c r="I65" s="3"/>
      <c r="J65" s="3"/>
    </row>
    <row r="66" customFormat="false" ht="30" hidden="false" customHeight="true" outlineLevel="0" collapsed="false">
      <c r="A66" s="4" t="s">
        <v>245</v>
      </c>
      <c r="B66" s="4" t="s">
        <v>378</v>
      </c>
      <c r="C66" s="4" t="s">
        <v>379</v>
      </c>
      <c r="D66" s="4" t="s">
        <v>248</v>
      </c>
      <c r="E66" s="4" t="s">
        <v>249</v>
      </c>
      <c r="F66" s="4" t="s">
        <v>240</v>
      </c>
      <c r="G66" s="4" t="s">
        <v>380</v>
      </c>
      <c r="H66" s="4" t="s">
        <v>381</v>
      </c>
      <c r="I66" s="4" t="s">
        <v>382</v>
      </c>
      <c r="J66" s="4" t="s">
        <v>277</v>
      </c>
    </row>
    <row r="67" customFormat="false" ht="18" hidden="false" customHeight="true" outlineLevel="0" collapsed="false">
      <c r="A67" s="7" t="s">
        <v>253</v>
      </c>
      <c r="B67" s="29" t="n">
        <f aca="false">'Practice Allocations'!E6</f>
        <v>27670.6358333333</v>
      </c>
      <c r="C67" s="29" t="n">
        <f aca="false">B67*1</f>
        <v>27670.6358333333</v>
      </c>
      <c r="D67" s="56"/>
      <c r="E67" s="56"/>
      <c r="F67" s="29" t="n">
        <f aca="false">D67+E67</f>
        <v>0</v>
      </c>
      <c r="G67" s="29" t="n">
        <f aca="false">F67</f>
        <v>0</v>
      </c>
      <c r="H67" s="26" t="n">
        <f aca="false">C67-G67</f>
        <v>27670.6358333333</v>
      </c>
      <c r="I67" s="19" t="n">
        <f aca="false">IF(C67&gt;0,G67/C67,0)</f>
        <v>0</v>
      </c>
      <c r="J67" s="5" t="str">
        <f aca="false">IF(H67&lt;0,"OVERSPEND",IF(I67&gt;0.9,"HIGH","OK"))</f>
        <v>OK</v>
      </c>
    </row>
    <row r="68" customFormat="false" ht="18" hidden="false" customHeight="true" outlineLevel="0" collapsed="false">
      <c r="A68" s="7" t="s">
        <v>254</v>
      </c>
      <c r="B68" s="29" t="n">
        <f aca="false">'Practice Allocations'!E6</f>
        <v>27670.6358333333</v>
      </c>
      <c r="C68" s="29" t="n">
        <f aca="false">B68*2</f>
        <v>55341.2716666667</v>
      </c>
      <c r="D68" s="56"/>
      <c r="E68" s="56"/>
      <c r="F68" s="29" t="n">
        <f aca="false">D68+E68</f>
        <v>0</v>
      </c>
      <c r="G68" s="29" t="n">
        <f aca="false">G67+F68</f>
        <v>0</v>
      </c>
      <c r="H68" s="26" t="n">
        <f aca="false">C68-G68</f>
        <v>55341.2716666667</v>
      </c>
      <c r="I68" s="19" t="n">
        <f aca="false">IF(C68&gt;0,G68/C68,0)</f>
        <v>0</v>
      </c>
      <c r="J68" s="5" t="str">
        <f aca="false">IF(H68&lt;0,"OVERSPEND",IF(I68&gt;0.9,"HIGH","OK"))</f>
        <v>OK</v>
      </c>
    </row>
    <row r="69" customFormat="false" ht="18" hidden="false" customHeight="true" outlineLevel="0" collapsed="false">
      <c r="A69" s="7" t="s">
        <v>255</v>
      </c>
      <c r="B69" s="29" t="n">
        <f aca="false">'Practice Allocations'!E6</f>
        <v>27670.6358333333</v>
      </c>
      <c r="C69" s="29" t="n">
        <f aca="false">B69*3</f>
        <v>83011.9075</v>
      </c>
      <c r="D69" s="56"/>
      <c r="E69" s="56"/>
      <c r="F69" s="29" t="n">
        <f aca="false">D69+E69</f>
        <v>0</v>
      </c>
      <c r="G69" s="29" t="n">
        <f aca="false">G68+F69</f>
        <v>0</v>
      </c>
      <c r="H69" s="26" t="n">
        <f aca="false">C69-G69</f>
        <v>83011.9075</v>
      </c>
      <c r="I69" s="19" t="n">
        <f aca="false">IF(C69&gt;0,G69/C69,0)</f>
        <v>0</v>
      </c>
      <c r="J69" s="5" t="str">
        <f aca="false">IF(H69&lt;0,"OVERSPEND",IF(I69&gt;0.9,"HIGH","OK"))</f>
        <v>OK</v>
      </c>
    </row>
    <row r="70" customFormat="false" ht="18" hidden="false" customHeight="true" outlineLevel="0" collapsed="false">
      <c r="A70" s="7" t="s">
        <v>256</v>
      </c>
      <c r="B70" s="29" t="n">
        <f aca="false">'Practice Allocations'!E6</f>
        <v>27670.6358333333</v>
      </c>
      <c r="C70" s="29" t="n">
        <f aca="false">B70*4</f>
        <v>110682.543333333</v>
      </c>
      <c r="D70" s="56"/>
      <c r="E70" s="56"/>
      <c r="F70" s="29" t="n">
        <f aca="false">D70+E70</f>
        <v>0</v>
      </c>
      <c r="G70" s="29" t="n">
        <f aca="false">G69+F70</f>
        <v>0</v>
      </c>
      <c r="H70" s="26" t="n">
        <f aca="false">C70-G70</f>
        <v>110682.543333333</v>
      </c>
      <c r="I70" s="19" t="n">
        <f aca="false">IF(C70&gt;0,G70/C70,0)</f>
        <v>0</v>
      </c>
      <c r="J70" s="5" t="str">
        <f aca="false">IF(H70&lt;0,"OVERSPEND",IF(I70&gt;0.9,"HIGH","OK"))</f>
        <v>OK</v>
      </c>
    </row>
    <row r="71" customFormat="false" ht="18" hidden="false" customHeight="true" outlineLevel="0" collapsed="false">
      <c r="A71" s="7" t="s">
        <v>257</v>
      </c>
      <c r="B71" s="29" t="n">
        <f aca="false">'Practice Allocations'!E6</f>
        <v>27670.6358333333</v>
      </c>
      <c r="C71" s="29" t="n">
        <f aca="false">B71*5</f>
        <v>138353.179166667</v>
      </c>
      <c r="D71" s="56"/>
      <c r="E71" s="56"/>
      <c r="F71" s="29" t="n">
        <f aca="false">D71+E71</f>
        <v>0</v>
      </c>
      <c r="G71" s="29" t="n">
        <f aca="false">G70+F71</f>
        <v>0</v>
      </c>
      <c r="H71" s="26" t="n">
        <f aca="false">C71-G71</f>
        <v>138353.179166667</v>
      </c>
      <c r="I71" s="19" t="n">
        <f aca="false">IF(C71&gt;0,G71/C71,0)</f>
        <v>0</v>
      </c>
      <c r="J71" s="5" t="str">
        <f aca="false">IF(H71&lt;0,"OVERSPEND",IF(I71&gt;0.9,"HIGH","OK"))</f>
        <v>OK</v>
      </c>
    </row>
    <row r="72" customFormat="false" ht="18" hidden="false" customHeight="true" outlineLevel="0" collapsed="false">
      <c r="A72" s="7" t="s">
        <v>258</v>
      </c>
      <c r="B72" s="29" t="n">
        <f aca="false">'Practice Allocations'!E6</f>
        <v>27670.6358333333</v>
      </c>
      <c r="C72" s="29" t="n">
        <f aca="false">B72*6</f>
        <v>166023.815</v>
      </c>
      <c r="D72" s="56"/>
      <c r="E72" s="56"/>
      <c r="F72" s="29" t="n">
        <f aca="false">D72+E72</f>
        <v>0</v>
      </c>
      <c r="G72" s="29" t="n">
        <f aca="false">G71+F72</f>
        <v>0</v>
      </c>
      <c r="H72" s="26" t="n">
        <f aca="false">C72-G72</f>
        <v>166023.815</v>
      </c>
      <c r="I72" s="19" t="n">
        <f aca="false">IF(C72&gt;0,G72/C72,0)</f>
        <v>0</v>
      </c>
      <c r="J72" s="5" t="str">
        <f aca="false">IF(H72&lt;0,"OVERSPEND",IF(I72&gt;0.9,"HIGH","OK"))</f>
        <v>OK</v>
      </c>
    </row>
    <row r="73" customFormat="false" ht="18" hidden="false" customHeight="true" outlineLevel="0" collapsed="false">
      <c r="A73" s="7" t="s">
        <v>259</v>
      </c>
      <c r="B73" s="29" t="n">
        <f aca="false">'Practice Allocations'!E6</f>
        <v>27670.6358333333</v>
      </c>
      <c r="C73" s="29" t="n">
        <f aca="false">B73*7</f>
        <v>193694.450833333</v>
      </c>
      <c r="D73" s="56"/>
      <c r="E73" s="56"/>
      <c r="F73" s="29" t="n">
        <f aca="false">D73+E73</f>
        <v>0</v>
      </c>
      <c r="G73" s="29" t="n">
        <f aca="false">G72+F73</f>
        <v>0</v>
      </c>
      <c r="H73" s="26" t="n">
        <f aca="false">C73-G73</f>
        <v>193694.450833333</v>
      </c>
      <c r="I73" s="19" t="n">
        <f aca="false">IF(C73&gt;0,G73/C73,0)</f>
        <v>0</v>
      </c>
      <c r="J73" s="5" t="str">
        <f aca="false">IF(H73&lt;0,"OVERSPEND",IF(I73&gt;0.9,"HIGH","OK"))</f>
        <v>OK</v>
      </c>
    </row>
    <row r="74" customFormat="false" ht="18" hidden="false" customHeight="true" outlineLevel="0" collapsed="false">
      <c r="A74" s="7" t="s">
        <v>260</v>
      </c>
      <c r="B74" s="29" t="n">
        <f aca="false">'Practice Allocations'!E6</f>
        <v>27670.6358333333</v>
      </c>
      <c r="C74" s="29" t="n">
        <f aca="false">B74*8</f>
        <v>221365.086666667</v>
      </c>
      <c r="D74" s="56"/>
      <c r="E74" s="56"/>
      <c r="F74" s="29" t="n">
        <f aca="false">D74+E74</f>
        <v>0</v>
      </c>
      <c r="G74" s="29" t="n">
        <f aca="false">G73+F74</f>
        <v>0</v>
      </c>
      <c r="H74" s="26" t="n">
        <f aca="false">C74-G74</f>
        <v>221365.086666667</v>
      </c>
      <c r="I74" s="19" t="n">
        <f aca="false">IF(C74&gt;0,G74/C74,0)</f>
        <v>0</v>
      </c>
      <c r="J74" s="5" t="str">
        <f aca="false">IF(H74&lt;0,"OVERSPEND",IF(I74&gt;0.9,"HIGH","OK"))</f>
        <v>OK</v>
      </c>
    </row>
    <row r="75" customFormat="false" ht="18" hidden="false" customHeight="true" outlineLevel="0" collapsed="false">
      <c r="A75" s="7" t="s">
        <v>261</v>
      </c>
      <c r="B75" s="29" t="n">
        <f aca="false">'Practice Allocations'!E6</f>
        <v>27670.6358333333</v>
      </c>
      <c r="C75" s="29" t="n">
        <f aca="false">B75*9</f>
        <v>249035.7225</v>
      </c>
      <c r="D75" s="56"/>
      <c r="E75" s="56"/>
      <c r="F75" s="29" t="n">
        <f aca="false">D75+E75</f>
        <v>0</v>
      </c>
      <c r="G75" s="29" t="n">
        <f aca="false">G74+F75</f>
        <v>0</v>
      </c>
      <c r="H75" s="26" t="n">
        <f aca="false">C75-G75</f>
        <v>249035.7225</v>
      </c>
      <c r="I75" s="19" t="n">
        <f aca="false">IF(C75&gt;0,G75/C75,0)</f>
        <v>0</v>
      </c>
      <c r="J75" s="5" t="str">
        <f aca="false">IF(H75&lt;0,"OVERSPEND",IF(I75&gt;0.9,"HIGH","OK"))</f>
        <v>OK</v>
      </c>
    </row>
    <row r="76" customFormat="false" ht="18" hidden="false" customHeight="true" outlineLevel="0" collapsed="false">
      <c r="A76" s="7" t="s">
        <v>262</v>
      </c>
      <c r="B76" s="29" t="n">
        <f aca="false">'Practice Allocations'!E6</f>
        <v>27670.6358333333</v>
      </c>
      <c r="C76" s="29" t="n">
        <f aca="false">B76*10</f>
        <v>276706.358333333</v>
      </c>
      <c r="D76" s="56"/>
      <c r="E76" s="56"/>
      <c r="F76" s="29" t="n">
        <f aca="false">D76+E76</f>
        <v>0</v>
      </c>
      <c r="G76" s="29" t="n">
        <f aca="false">G75+F76</f>
        <v>0</v>
      </c>
      <c r="H76" s="26" t="n">
        <f aca="false">C76-G76</f>
        <v>276706.358333333</v>
      </c>
      <c r="I76" s="19" t="n">
        <f aca="false">IF(C76&gt;0,G76/C76,0)</f>
        <v>0</v>
      </c>
      <c r="J76" s="5" t="str">
        <f aca="false">IF(H76&lt;0,"OVERSPEND",IF(I76&gt;0.9,"HIGH","OK"))</f>
        <v>OK</v>
      </c>
    </row>
    <row r="77" customFormat="false" ht="18" hidden="false" customHeight="true" outlineLevel="0" collapsed="false">
      <c r="A77" s="7" t="s">
        <v>263</v>
      </c>
      <c r="B77" s="29" t="n">
        <f aca="false">'Practice Allocations'!E6</f>
        <v>27670.6358333333</v>
      </c>
      <c r="C77" s="29" t="n">
        <f aca="false">B77*11</f>
        <v>304376.994166667</v>
      </c>
      <c r="D77" s="56"/>
      <c r="E77" s="56"/>
      <c r="F77" s="29" t="n">
        <f aca="false">D77+E77</f>
        <v>0</v>
      </c>
      <c r="G77" s="29" t="n">
        <f aca="false">G76+F77</f>
        <v>0</v>
      </c>
      <c r="H77" s="26" t="n">
        <f aca="false">C77-G77</f>
        <v>304376.994166667</v>
      </c>
      <c r="I77" s="19" t="n">
        <f aca="false">IF(C77&gt;0,G77/C77,0)</f>
        <v>0</v>
      </c>
      <c r="J77" s="5" t="str">
        <f aca="false">IF(H77&lt;0,"OVERSPEND",IF(I77&gt;0.9,"HIGH","OK"))</f>
        <v>OK</v>
      </c>
    </row>
    <row r="78" customFormat="false" ht="18" hidden="false" customHeight="true" outlineLevel="0" collapsed="false">
      <c r="A78" s="7" t="s">
        <v>264</v>
      </c>
      <c r="B78" s="29" t="n">
        <f aca="false">'Practice Allocations'!E6</f>
        <v>27670.6358333333</v>
      </c>
      <c r="C78" s="29" t="n">
        <f aca="false">B78*12</f>
        <v>332047.63</v>
      </c>
      <c r="D78" s="56"/>
      <c r="E78" s="56"/>
      <c r="F78" s="29" t="n">
        <f aca="false">D78+E78</f>
        <v>0</v>
      </c>
      <c r="G78" s="29" t="n">
        <f aca="false">G77+F78</f>
        <v>0</v>
      </c>
      <c r="H78" s="26" t="n">
        <f aca="false">C78-G78</f>
        <v>332047.63</v>
      </c>
      <c r="I78" s="19" t="n">
        <f aca="false">IF(C78&gt;0,G78/C78,0)</f>
        <v>0</v>
      </c>
      <c r="J78" s="5" t="str">
        <f aca="false">IF(H78&lt;0,"OVERSPEND",IF(I78&gt;0.9,"HIGH","OK"))</f>
        <v>OK</v>
      </c>
    </row>
    <row r="79" customFormat="false" ht="18" hidden="false" customHeight="true" outlineLevel="0" collapsed="false">
      <c r="A79" s="20" t="s">
        <v>383</v>
      </c>
      <c r="B79" s="32" t="n">
        <f aca="false">SUM(B67:B78)</f>
        <v>332047.63</v>
      </c>
      <c r="C79" s="32" t="n">
        <f aca="false">C78</f>
        <v>332047.63</v>
      </c>
      <c r="D79" s="32" t="n">
        <f aca="false">SUM(D67:D78)</f>
        <v>0</v>
      </c>
      <c r="E79" s="32" t="n">
        <f aca="false">SUM(E67:E78)</f>
        <v>0</v>
      </c>
      <c r="F79" s="32" t="n">
        <f aca="false">SUM(F67:F78)</f>
        <v>0</v>
      </c>
      <c r="G79" s="32" t="n">
        <f aca="false">G78</f>
        <v>0</v>
      </c>
      <c r="H79" s="32" t="n">
        <f aca="false">H78</f>
        <v>332047.63</v>
      </c>
      <c r="I79" s="23" t="n">
        <f aca="false">I78</f>
        <v>0</v>
      </c>
      <c r="J79" s="22"/>
    </row>
    <row r="81" customFormat="false" ht="24" hidden="false" customHeight="true" outlineLevel="0" collapsed="false">
      <c r="A81" s="3" t="s">
        <v>384</v>
      </c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8" hidden="false" customHeight="true" outlineLevel="0" collapsed="false">
      <c r="A82" s="5" t="s">
        <v>385</v>
      </c>
      <c r="B82" s="30" t="n">
        <f aca="false">F22</f>
        <v>10459.5634</v>
      </c>
    </row>
    <row r="83" customFormat="false" ht="18" hidden="false" customHeight="true" outlineLevel="0" collapsed="false">
      <c r="A83" s="5" t="s">
        <v>386</v>
      </c>
      <c r="B83" s="30" t="n">
        <f aca="false">F39</f>
        <v>0</v>
      </c>
    </row>
    <row r="84" customFormat="false" ht="18" hidden="false" customHeight="true" outlineLevel="0" collapsed="false">
      <c r="A84" s="5" t="s">
        <v>387</v>
      </c>
      <c r="B84" s="52" t="n">
        <f aca="false">IF(B82&gt;0,B83/B82,0)</f>
        <v>0</v>
      </c>
    </row>
    <row r="85" customFormat="false" ht="18" hidden="false" customHeight="true" outlineLevel="0" collapsed="false">
      <c r="A85" s="5" t="s">
        <v>388</v>
      </c>
      <c r="B85" s="30" t="n">
        <f aca="false">IF(COUNTA(F26:F38)&gt;0,AVERAGE(F26:F38),0)</f>
        <v>0</v>
      </c>
    </row>
    <row r="86" customFormat="false" ht="18" hidden="false" customHeight="true" outlineLevel="0" collapsed="false">
      <c r="A86" s="5" t="s">
        <v>389</v>
      </c>
      <c r="B86" s="30" t="n">
        <f aca="false">C20</f>
        <v>191.6872</v>
      </c>
    </row>
    <row r="87" customFormat="false" ht="18" hidden="false" customHeight="true" outlineLevel="0" collapsed="false">
      <c r="A87" s="5" t="s">
        <v>390</v>
      </c>
      <c r="B87" s="30" t="n">
        <f aca="false">B85-B86</f>
        <v>-191.6872</v>
      </c>
    </row>
    <row r="88" customFormat="false" ht="18" hidden="false" customHeight="true" outlineLevel="0" collapsed="false">
      <c r="A88" s="5" t="s">
        <v>391</v>
      </c>
      <c r="B88" s="52" t="n">
        <f aca="false">IF(F39&gt;0,E39/F39,0)</f>
        <v>0</v>
      </c>
    </row>
    <row r="89" customFormat="false" ht="18" hidden="false" customHeight="true" outlineLevel="0" collapsed="false">
      <c r="A89" s="5" t="s">
        <v>392</v>
      </c>
      <c r="B89" s="30" t="str">
        <f aca="false">IF(B90&gt;=0.5,"YES — Compliant","NO — Below 50%")</f>
        <v>NO — Below 50%</v>
      </c>
    </row>
    <row r="90" customFormat="false" ht="18" hidden="false" customHeight="true" outlineLevel="0" collapsed="false">
      <c r="A90" s="5" t="s">
        <v>393</v>
      </c>
      <c r="B90" s="26" t="n">
        <f aca="false">J54</f>
        <v>0</v>
      </c>
    </row>
    <row r="91" customFormat="false" ht="18" hidden="false" customHeight="true" outlineLevel="0" collapsed="false">
      <c r="A91" s="5" t="s">
        <v>394</v>
      </c>
      <c r="B91" s="26" t="n">
        <f aca="false">I63</f>
        <v>0</v>
      </c>
    </row>
    <row r="92" customFormat="false" ht="18" hidden="false" customHeight="true" outlineLevel="0" collapsed="false">
      <c r="A92" s="5" t="s">
        <v>395</v>
      </c>
      <c r="B92" s="26" t="n">
        <f aca="false">B90+B91</f>
        <v>0</v>
      </c>
    </row>
    <row r="93" customFormat="false" ht="18" hidden="false" customHeight="true" outlineLevel="0" collapsed="false">
      <c r="A93" s="5" t="s">
        <v>396</v>
      </c>
      <c r="B93" s="26" t="n">
        <f aca="false">'Practice Allocations'!D6-B94</f>
        <v>332047.63</v>
      </c>
    </row>
    <row r="95" customFormat="false" ht="24" hidden="false" customHeight="true" outlineLevel="0" collapsed="false">
      <c r="A95" s="3" t="s">
        <v>397</v>
      </c>
      <c r="B95" s="3"/>
      <c r="C95" s="3"/>
      <c r="D95" s="3"/>
      <c r="E95" s="3"/>
      <c r="F95" s="3"/>
      <c r="G95" s="3"/>
      <c r="H95" s="3"/>
      <c r="I95" s="3"/>
      <c r="J95" s="3"/>
    </row>
    <row r="96" customFormat="false" ht="30" hidden="false" customHeight="true" outlineLevel="0" collapsed="false">
      <c r="A96" s="4" t="s">
        <v>398</v>
      </c>
      <c r="B96" s="4" t="s">
        <v>208</v>
      </c>
      <c r="C96" s="4" t="s">
        <v>399</v>
      </c>
      <c r="D96" s="4" t="s">
        <v>400</v>
      </c>
      <c r="E96" s="4" t="s">
        <v>401</v>
      </c>
      <c r="F96" s="4" t="s">
        <v>205</v>
      </c>
      <c r="G96" s="4" t="s">
        <v>402</v>
      </c>
      <c r="H96" s="4"/>
      <c r="I96" s="4"/>
      <c r="J96" s="4"/>
    </row>
    <row r="97" customFormat="false" ht="18" hidden="false" customHeight="true" outlineLevel="0" collapsed="false">
      <c r="A97" s="63"/>
      <c r="B97" s="63"/>
      <c r="C97" s="63"/>
      <c r="D97" s="56"/>
      <c r="E97" s="63"/>
      <c r="F97" s="63"/>
      <c r="G97" s="63"/>
      <c r="H97" s="7"/>
      <c r="I97" s="7"/>
      <c r="J97" s="7"/>
    </row>
    <row r="98" customFormat="false" ht="18" hidden="false" customHeight="true" outlineLevel="0" collapsed="false">
      <c r="A98" s="63"/>
      <c r="B98" s="63"/>
      <c r="C98" s="63"/>
      <c r="D98" s="56"/>
      <c r="E98" s="63"/>
      <c r="F98" s="63"/>
      <c r="G98" s="63"/>
      <c r="H98" s="49"/>
      <c r="I98" s="49"/>
      <c r="J98" s="49"/>
    </row>
    <row r="99" customFormat="false" ht="18" hidden="false" customHeight="true" outlineLevel="0" collapsed="false">
      <c r="A99" s="63"/>
      <c r="B99" s="63"/>
      <c r="C99" s="63"/>
      <c r="D99" s="56"/>
      <c r="E99" s="63"/>
      <c r="F99" s="63"/>
      <c r="G99" s="63"/>
      <c r="H99" s="7"/>
      <c r="I99" s="7"/>
      <c r="J99" s="7"/>
    </row>
    <row r="100" customFormat="false" ht="18" hidden="false" customHeight="true" outlineLevel="0" collapsed="false">
      <c r="A100" s="63"/>
      <c r="B100" s="63"/>
      <c r="C100" s="63"/>
      <c r="D100" s="56"/>
      <c r="E100" s="63"/>
      <c r="F100" s="63"/>
      <c r="G100" s="63"/>
      <c r="H100" s="49"/>
      <c r="I100" s="49"/>
      <c r="J100" s="49"/>
    </row>
    <row r="101" customFormat="false" ht="18" hidden="false" customHeight="true" outlineLevel="0" collapsed="false">
      <c r="A101" s="63"/>
      <c r="B101" s="63"/>
      <c r="C101" s="63"/>
      <c r="D101" s="56"/>
      <c r="E101" s="63"/>
      <c r="F101" s="63"/>
      <c r="G101" s="63"/>
      <c r="H101" s="7"/>
      <c r="I101" s="7"/>
      <c r="J101" s="7"/>
    </row>
    <row r="103" customFormat="false" ht="24" hidden="false" customHeight="true" outlineLevel="0" collapsed="false">
      <c r="A103" s="3" t="s">
        <v>403</v>
      </c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30" hidden="false" customHeight="true" outlineLevel="0" collapsed="false">
      <c r="A104" s="4" t="s">
        <v>336</v>
      </c>
      <c r="B104" s="4" t="s">
        <v>404</v>
      </c>
      <c r="C104" s="4" t="s">
        <v>405</v>
      </c>
      <c r="D104" s="4" t="s">
        <v>205</v>
      </c>
      <c r="E104" s="4" t="s">
        <v>406</v>
      </c>
      <c r="F104" s="4"/>
      <c r="G104" s="4"/>
      <c r="H104" s="4"/>
      <c r="I104" s="4"/>
      <c r="J104" s="4"/>
    </row>
    <row r="105" customFormat="false" ht="18" hidden="false" customHeight="true" outlineLevel="0" collapsed="false">
      <c r="A105" s="78"/>
      <c r="B105" s="63"/>
      <c r="C105" s="63"/>
      <c r="D105" s="63"/>
      <c r="E105" s="78"/>
      <c r="F105" s="7"/>
      <c r="G105" s="7"/>
      <c r="H105" s="7"/>
      <c r="I105" s="7"/>
      <c r="J105" s="7"/>
    </row>
    <row r="106" customFormat="false" ht="18" hidden="false" customHeight="true" outlineLevel="0" collapsed="false">
      <c r="A106" s="78"/>
      <c r="B106" s="63"/>
      <c r="C106" s="63"/>
      <c r="D106" s="63"/>
      <c r="E106" s="78"/>
      <c r="F106" s="49"/>
      <c r="G106" s="49"/>
      <c r="H106" s="49"/>
      <c r="I106" s="49"/>
      <c r="J106" s="49"/>
    </row>
    <row r="107" customFormat="false" ht="18" hidden="false" customHeight="true" outlineLevel="0" collapsed="false">
      <c r="A107" s="78"/>
      <c r="B107" s="63"/>
      <c r="C107" s="63"/>
      <c r="D107" s="63"/>
      <c r="E107" s="78"/>
      <c r="F107" s="7"/>
      <c r="G107" s="7"/>
      <c r="H107" s="7"/>
      <c r="I107" s="7"/>
      <c r="J107" s="7"/>
    </row>
    <row r="108" customFormat="false" ht="18" hidden="false" customHeight="true" outlineLevel="0" collapsed="false">
      <c r="A108" s="78"/>
      <c r="B108" s="63"/>
      <c r="C108" s="63"/>
      <c r="D108" s="63"/>
      <c r="E108" s="78"/>
      <c r="F108" s="49"/>
      <c r="G108" s="49"/>
      <c r="H108" s="49"/>
      <c r="I108" s="49"/>
      <c r="J108" s="49"/>
    </row>
    <row r="109" customFormat="false" ht="18" hidden="false" customHeight="true" outlineLevel="0" collapsed="false">
      <c r="A109" s="78"/>
      <c r="B109" s="63"/>
      <c r="C109" s="63"/>
      <c r="D109" s="63"/>
      <c r="E109" s="78"/>
      <c r="F109" s="7"/>
      <c r="G109" s="7"/>
      <c r="H109" s="7"/>
      <c r="I109" s="7"/>
      <c r="J109" s="7"/>
    </row>
    <row r="110" customFormat="false" ht="18" hidden="false" customHeight="true" outlineLevel="0" collapsed="false">
      <c r="A110" s="78"/>
      <c r="B110" s="63"/>
      <c r="C110" s="63"/>
      <c r="D110" s="63"/>
      <c r="E110" s="78"/>
      <c r="F110" s="49"/>
      <c r="G110" s="49"/>
      <c r="H110" s="49"/>
      <c r="I110" s="49"/>
      <c r="J110" s="49"/>
    </row>
    <row r="111" customFormat="false" ht="18" hidden="false" customHeight="true" outlineLevel="0" collapsed="false">
      <c r="A111" s="78"/>
      <c r="B111" s="63"/>
      <c r="C111" s="63"/>
      <c r="D111" s="63"/>
      <c r="E111" s="78"/>
      <c r="F111" s="7"/>
      <c r="G111" s="7"/>
      <c r="H111" s="7"/>
      <c r="I111" s="7"/>
      <c r="J111" s="7"/>
    </row>
    <row r="112" customFormat="false" ht="18" hidden="false" customHeight="true" outlineLevel="0" collapsed="false">
      <c r="A112" s="78"/>
      <c r="B112" s="63"/>
      <c r="C112" s="63"/>
      <c r="D112" s="63"/>
      <c r="E112" s="78"/>
      <c r="F112" s="49"/>
      <c r="G112" s="49"/>
      <c r="H112" s="49"/>
      <c r="I112" s="49"/>
      <c r="J112" s="49"/>
    </row>
    <row r="113" customFormat="false" ht="18" hidden="false" customHeight="true" outlineLevel="0" collapsed="false">
      <c r="A113" s="78"/>
      <c r="B113" s="63"/>
      <c r="C113" s="63"/>
      <c r="D113" s="63"/>
      <c r="E113" s="78"/>
      <c r="F113" s="7"/>
      <c r="G113" s="7"/>
      <c r="H113" s="7"/>
      <c r="I113" s="7"/>
      <c r="J113" s="7"/>
    </row>
    <row r="114" customFormat="false" ht="18" hidden="false" customHeight="true" outlineLevel="0" collapsed="false">
      <c r="A114" s="78"/>
      <c r="B114" s="63"/>
      <c r="C114" s="63"/>
      <c r="D114" s="63"/>
      <c r="E114" s="78"/>
      <c r="F114" s="49"/>
      <c r="G114" s="49"/>
      <c r="H114" s="49"/>
      <c r="I114" s="49"/>
      <c r="J114" s="49"/>
    </row>
  </sheetData>
  <mergeCells count="12">
    <mergeCell ref="A1:J1"/>
    <mergeCell ref="A2:J2"/>
    <mergeCell ref="A4:J4"/>
    <mergeCell ref="A11:J11"/>
    <mergeCell ref="A18:J18"/>
    <mergeCell ref="A24:J24"/>
    <mergeCell ref="A42:J42"/>
    <mergeCell ref="A56:J56"/>
    <mergeCell ref="A65:J65"/>
    <mergeCell ref="A81:J81"/>
    <mergeCell ref="A95:J95"/>
    <mergeCell ref="A103:J103"/>
  </mergeCells>
  <dataValidations count="4">
    <dataValidation allowBlank="true" errorStyle="stop" operator="between" showDropDown="false" showErrorMessage="false" showInputMessage="false" sqref="C44:C53" type="list">
      <formula1>"New SDA,Buy-Back,Existing (Buy-Back Pending)"</formula1>
      <formula2>0</formula2>
    </dataValidation>
    <dataValidation allowBlank="true" errorStyle="stop" operator="between" showDropDown="false" showErrorMessage="false" showInputMessage="false" sqref="J58:J62" type="list">
      <formula1>"Draft,Submitted,Under Review,Approved,Rejected"</formula1>
      <formula2>0</formula2>
    </dataValidation>
    <dataValidation allowBlank="true" errorStyle="stop" operator="between" showDropDown="false" showErrorMessage="false" showInputMessage="false" sqref="F97:F101" type="list">
      <formula1>"Planned,Recruiting,In Post,Delayed,Not Started"</formula1>
      <formula2>0</formula2>
    </dataValidation>
    <dataValidation allowBlank="true" errorStyle="stop" operator="between" showDropDown="false" showErrorMessage="false" showInputMessage="false" sqref="D105:D114" type="list">
      <formula1>"Open,In Progress,Complete,On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409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345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A5" s="5" t="s">
        <v>109</v>
      </c>
      <c r="B5" s="5" t="str">
        <f aca="false">Assumptions!A32</f>
        <v>Towcester MC</v>
      </c>
    </row>
    <row r="6" customFormat="false" ht="18" hidden="false" customHeight="true" outlineLevel="0" collapsed="false">
      <c r="A6" s="5" t="s">
        <v>55</v>
      </c>
      <c r="B6" s="51" t="n">
        <f aca="false">Assumptions!B32</f>
        <v>11748</v>
      </c>
    </row>
    <row r="7" customFormat="false" ht="18" hidden="false" customHeight="true" outlineLevel="0" collapsed="false">
      <c r="A7" s="5" t="s">
        <v>346</v>
      </c>
      <c r="B7" s="5" t="s">
        <v>64</v>
      </c>
    </row>
    <row r="8" customFormat="false" ht="18" hidden="false" customHeight="true" outlineLevel="0" collapsed="false">
      <c r="A8" s="5" t="s">
        <v>57</v>
      </c>
      <c r="B8" s="5" t="s">
        <v>65</v>
      </c>
    </row>
    <row r="9" customFormat="false" ht="18" hidden="false" customHeight="true" outlineLevel="0" collapsed="false">
      <c r="A9" s="5" t="s">
        <v>347</v>
      </c>
      <c r="B9" s="52" t="n">
        <f aca="false">Assumptions!E32</f>
        <v>0.131139489194499</v>
      </c>
    </row>
    <row r="11" customFormat="false" ht="24" hidden="false" customHeight="true" outlineLevel="0" collapsed="false">
      <c r="A11" s="3" t="s">
        <v>348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4" t="s">
        <v>183</v>
      </c>
      <c r="B12" s="4" t="s">
        <v>4</v>
      </c>
      <c r="C12" s="4"/>
      <c r="D12" s="4"/>
      <c r="E12" s="4"/>
      <c r="F12" s="4"/>
      <c r="G12" s="4"/>
      <c r="H12" s="4"/>
      <c r="I12" s="4"/>
      <c r="J12" s="4"/>
    </row>
    <row r="13" customFormat="false" ht="18" hidden="false" customHeight="true" outlineLevel="0" collapsed="false">
      <c r="A13" s="5" t="s">
        <v>349</v>
      </c>
      <c r="B13" s="26" t="n">
        <f aca="false">'Practice Allocations'!D7</f>
        <v>309324.84</v>
      </c>
    </row>
    <row r="14" customFormat="false" ht="18" hidden="false" customHeight="true" outlineLevel="0" collapsed="false">
      <c r="A14" s="5" t="s">
        <v>350</v>
      </c>
      <c r="B14" s="26" t="n">
        <f aca="false">'Practice Allocations'!E7</f>
        <v>25777.07</v>
      </c>
    </row>
    <row r="15" customFormat="false" ht="18" hidden="false" customHeight="true" outlineLevel="0" collapsed="false">
      <c r="A15" s="5" t="s">
        <v>351</v>
      </c>
      <c r="B15" s="26" t="n">
        <f aca="false">'Practice Allocations'!F7</f>
        <v>231993.63</v>
      </c>
    </row>
    <row r="16" customFormat="false" ht="18" hidden="false" customHeight="true" outlineLevel="0" collapsed="false">
      <c r="A16" s="5" t="s">
        <v>352</v>
      </c>
      <c r="B16" s="26" t="n">
        <f aca="false">'Practice Allocations'!D7*Assumptions!B16</f>
        <v>77331.21</v>
      </c>
    </row>
    <row r="18" customFormat="false" ht="24" hidden="false" customHeight="true" outlineLevel="0" collapsed="false">
      <c r="A18" s="3" t="s">
        <v>353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30" hidden="false" customHeight="true" outlineLevel="0" collapsed="false">
      <c r="A19" s="4" t="s">
        <v>274</v>
      </c>
      <c r="B19" s="4" t="s">
        <v>354</v>
      </c>
      <c r="C19" s="4" t="s">
        <v>355</v>
      </c>
      <c r="D19" s="4" t="s">
        <v>102</v>
      </c>
      <c r="E19" s="4" t="s">
        <v>103</v>
      </c>
      <c r="F19" s="4" t="s">
        <v>356</v>
      </c>
      <c r="G19" s="4"/>
      <c r="H19" s="4"/>
      <c r="I19" s="4"/>
      <c r="J19" s="4"/>
    </row>
    <row r="20" customFormat="false" ht="18" hidden="false" customHeight="true" outlineLevel="0" collapsed="false">
      <c r="A20" s="71" t="s">
        <v>170</v>
      </c>
      <c r="B20" s="65" t="n">
        <f aca="false">Assumptions!B10</f>
        <v>39</v>
      </c>
      <c r="C20" s="72" t="n">
        <f aca="false">'Practice Allocations'!G7</f>
        <v>178.5696</v>
      </c>
      <c r="D20" s="73" t="n">
        <f aca="false">'Practice Allocations'!H7</f>
        <v>89.2848</v>
      </c>
      <c r="E20" s="73" t="n">
        <f aca="false">'Practice Allocations'!I7</f>
        <v>89.2848</v>
      </c>
      <c r="F20" s="74" t="n">
        <f aca="false">B20*C20</f>
        <v>6964.2144</v>
      </c>
    </row>
    <row r="21" customFormat="false" ht="18" hidden="false" customHeight="true" outlineLevel="0" collapsed="false">
      <c r="A21" s="47" t="s">
        <v>278</v>
      </c>
      <c r="B21" s="75" t="n">
        <f aca="false">Assumptions!B11</f>
        <v>13</v>
      </c>
      <c r="C21" s="76" t="n">
        <f aca="false">'Practice Allocations'!J7</f>
        <v>213.8136</v>
      </c>
      <c r="D21" s="77" t="n">
        <f aca="false">'Practice Allocations'!K7</f>
        <v>106.9068</v>
      </c>
      <c r="E21" s="77" t="n">
        <f aca="false">'Practice Allocations'!L7</f>
        <v>106.9068</v>
      </c>
      <c r="F21" s="48" t="n">
        <f aca="false">B21*C21</f>
        <v>2779.5768</v>
      </c>
    </row>
    <row r="22" customFormat="false" ht="18" hidden="false" customHeight="true" outlineLevel="0" collapsed="false">
      <c r="A22" s="20" t="s">
        <v>265</v>
      </c>
      <c r="B22" s="21" t="n">
        <f aca="false">B20+B21</f>
        <v>52</v>
      </c>
      <c r="C22" s="22"/>
      <c r="D22" s="22"/>
      <c r="E22" s="22"/>
      <c r="F22" s="21" t="n">
        <f aca="false">'Practice Allocations'!M7</f>
        <v>9743.7912</v>
      </c>
    </row>
    <row r="24" customFormat="false" ht="24" hidden="false" customHeight="true" outlineLevel="0" collapsed="false">
      <c r="A24" s="3" t="s">
        <v>357</v>
      </c>
      <c r="B24" s="3"/>
      <c r="C24" s="3"/>
      <c r="D24" s="3"/>
      <c r="E24" s="3"/>
      <c r="F24" s="3"/>
      <c r="G24" s="3"/>
      <c r="H24" s="3"/>
      <c r="I24" s="3"/>
      <c r="J24" s="3"/>
    </row>
    <row r="25" customFormat="false" ht="30" hidden="false" customHeight="true" outlineLevel="0" collapsed="false">
      <c r="A25" s="4" t="s">
        <v>273</v>
      </c>
      <c r="B25" s="4" t="s">
        <v>274</v>
      </c>
      <c r="C25" s="4" t="s">
        <v>358</v>
      </c>
      <c r="D25" s="4" t="s">
        <v>359</v>
      </c>
      <c r="E25" s="4" t="s">
        <v>360</v>
      </c>
      <c r="F25" s="4" t="s">
        <v>275</v>
      </c>
      <c r="G25" s="4" t="s">
        <v>112</v>
      </c>
      <c r="H25" s="4" t="s">
        <v>361</v>
      </c>
      <c r="I25" s="4" t="s">
        <v>362</v>
      </c>
      <c r="J25" s="4" t="s">
        <v>363</v>
      </c>
    </row>
    <row r="26" customFormat="false" ht="18" hidden="false" customHeight="true" outlineLevel="0" collapsed="false">
      <c r="A26" s="18" t="n">
        <v>1</v>
      </c>
      <c r="B26" s="61" t="s">
        <v>170</v>
      </c>
      <c r="C26" s="31" t="n">
        <f aca="false">C20</f>
        <v>178.5696</v>
      </c>
      <c r="D26" s="55"/>
      <c r="E26" s="55"/>
      <c r="F26" s="51" t="n">
        <f aca="false">D26+E26</f>
        <v>0</v>
      </c>
      <c r="G26" s="31" t="n">
        <f aca="false">F26-C26</f>
        <v>-178.5696</v>
      </c>
      <c r="H26" s="19" t="n">
        <f aca="false">IF(C26&gt;0,F26/C26,0)</f>
        <v>0</v>
      </c>
      <c r="I26" s="55"/>
      <c r="J26" s="55"/>
    </row>
    <row r="27" customFormat="false" ht="18" hidden="false" customHeight="true" outlineLevel="0" collapsed="false">
      <c r="A27" s="18" t="n">
        <v>2</v>
      </c>
      <c r="B27" s="61" t="s">
        <v>170</v>
      </c>
      <c r="C27" s="31" t="n">
        <f aca="false">C20</f>
        <v>178.5696</v>
      </c>
      <c r="D27" s="55"/>
      <c r="E27" s="55"/>
      <c r="F27" s="51" t="n">
        <f aca="false">D27+E27</f>
        <v>0</v>
      </c>
      <c r="G27" s="31" t="n">
        <f aca="false">F27-C27</f>
        <v>-178.5696</v>
      </c>
      <c r="H27" s="19" t="n">
        <f aca="false">IF(C27&gt;0,F27/C27,0)</f>
        <v>0</v>
      </c>
      <c r="I27" s="55"/>
      <c r="J27" s="55"/>
    </row>
    <row r="28" customFormat="false" ht="18" hidden="false" customHeight="true" outlineLevel="0" collapsed="false">
      <c r="A28" s="18" t="n">
        <v>3</v>
      </c>
      <c r="B28" s="61" t="s">
        <v>170</v>
      </c>
      <c r="C28" s="31" t="n">
        <f aca="false">C20</f>
        <v>178.5696</v>
      </c>
      <c r="D28" s="55"/>
      <c r="E28" s="55"/>
      <c r="F28" s="51" t="n">
        <f aca="false">D28+E28</f>
        <v>0</v>
      </c>
      <c r="G28" s="31" t="n">
        <f aca="false">F28-C28</f>
        <v>-178.5696</v>
      </c>
      <c r="H28" s="19" t="n">
        <f aca="false">IF(C28&gt;0,F28/C28,0)</f>
        <v>0</v>
      </c>
      <c r="I28" s="55"/>
      <c r="J28" s="55"/>
    </row>
    <row r="29" customFormat="false" ht="18" hidden="false" customHeight="true" outlineLevel="0" collapsed="false">
      <c r="A29" s="18" t="n">
        <v>4</v>
      </c>
      <c r="B29" s="61" t="s">
        <v>170</v>
      </c>
      <c r="C29" s="31" t="n">
        <f aca="false">C20</f>
        <v>178.5696</v>
      </c>
      <c r="D29" s="55"/>
      <c r="E29" s="55"/>
      <c r="F29" s="51" t="n">
        <f aca="false">D29+E29</f>
        <v>0</v>
      </c>
      <c r="G29" s="31" t="n">
        <f aca="false">F29-C29</f>
        <v>-178.5696</v>
      </c>
      <c r="H29" s="19" t="n">
        <f aca="false">IF(C29&gt;0,F29/C29,0)</f>
        <v>0</v>
      </c>
      <c r="I29" s="55"/>
      <c r="J29" s="55"/>
    </row>
    <row r="30" customFormat="false" ht="18" hidden="false" customHeight="true" outlineLevel="0" collapsed="false">
      <c r="A30" s="18" t="n">
        <v>5</v>
      </c>
      <c r="B30" s="61" t="s">
        <v>170</v>
      </c>
      <c r="C30" s="31" t="n">
        <f aca="false">C20</f>
        <v>178.5696</v>
      </c>
      <c r="D30" s="55"/>
      <c r="E30" s="55"/>
      <c r="F30" s="51" t="n">
        <f aca="false">D30+E30</f>
        <v>0</v>
      </c>
      <c r="G30" s="31" t="n">
        <f aca="false">F30-C30</f>
        <v>-178.5696</v>
      </c>
      <c r="H30" s="19" t="n">
        <f aca="false">IF(C30&gt;0,F30/C30,0)</f>
        <v>0</v>
      </c>
      <c r="I30" s="55"/>
      <c r="J30" s="55"/>
    </row>
    <row r="31" customFormat="false" ht="18" hidden="false" customHeight="true" outlineLevel="0" collapsed="false">
      <c r="A31" s="18" t="n">
        <v>6</v>
      </c>
      <c r="B31" s="61" t="s">
        <v>170</v>
      </c>
      <c r="C31" s="31" t="n">
        <f aca="false">C20</f>
        <v>178.5696</v>
      </c>
      <c r="D31" s="55"/>
      <c r="E31" s="55"/>
      <c r="F31" s="51" t="n">
        <f aca="false">D31+E31</f>
        <v>0</v>
      </c>
      <c r="G31" s="31" t="n">
        <f aca="false">F31-C31</f>
        <v>-178.5696</v>
      </c>
      <c r="H31" s="19" t="n">
        <f aca="false">IF(C31&gt;0,F31/C31,0)</f>
        <v>0</v>
      </c>
      <c r="I31" s="55"/>
      <c r="J31" s="55"/>
    </row>
    <row r="32" customFormat="false" ht="18" hidden="false" customHeight="true" outlineLevel="0" collapsed="false">
      <c r="A32" s="18" t="n">
        <v>7</v>
      </c>
      <c r="B32" s="61" t="s">
        <v>170</v>
      </c>
      <c r="C32" s="31" t="n">
        <f aca="false">C20</f>
        <v>178.5696</v>
      </c>
      <c r="D32" s="55"/>
      <c r="E32" s="55"/>
      <c r="F32" s="51" t="n">
        <f aca="false">D32+E32</f>
        <v>0</v>
      </c>
      <c r="G32" s="31" t="n">
        <f aca="false">F32-C32</f>
        <v>-178.5696</v>
      </c>
      <c r="H32" s="19" t="n">
        <f aca="false">IF(C32&gt;0,F32/C32,0)</f>
        <v>0</v>
      </c>
      <c r="I32" s="55"/>
      <c r="J32" s="55"/>
    </row>
    <row r="33" customFormat="false" ht="18" hidden="false" customHeight="true" outlineLevel="0" collapsed="false">
      <c r="A33" s="18" t="n">
        <v>8</v>
      </c>
      <c r="B33" s="61" t="s">
        <v>170</v>
      </c>
      <c r="C33" s="31" t="n">
        <f aca="false">C20</f>
        <v>178.5696</v>
      </c>
      <c r="D33" s="55"/>
      <c r="E33" s="55"/>
      <c r="F33" s="51" t="n">
        <f aca="false">D33+E33</f>
        <v>0</v>
      </c>
      <c r="G33" s="31" t="n">
        <f aca="false">F33-C33</f>
        <v>-178.5696</v>
      </c>
      <c r="H33" s="19" t="n">
        <f aca="false">IF(C33&gt;0,F33/C33,0)</f>
        <v>0</v>
      </c>
      <c r="I33" s="55"/>
      <c r="J33" s="55"/>
    </row>
    <row r="34" customFormat="false" ht="18" hidden="false" customHeight="true" outlineLevel="0" collapsed="false">
      <c r="A34" s="18" t="n">
        <v>9</v>
      </c>
      <c r="B34" s="61" t="s">
        <v>170</v>
      </c>
      <c r="C34" s="31" t="n">
        <f aca="false">C20</f>
        <v>178.5696</v>
      </c>
      <c r="D34" s="55"/>
      <c r="E34" s="55"/>
      <c r="F34" s="51" t="n">
        <f aca="false">D34+E34</f>
        <v>0</v>
      </c>
      <c r="G34" s="31" t="n">
        <f aca="false">F34-C34</f>
        <v>-178.5696</v>
      </c>
      <c r="H34" s="19" t="n">
        <f aca="false">IF(C34&gt;0,F34/C34,0)</f>
        <v>0</v>
      </c>
      <c r="I34" s="55"/>
      <c r="J34" s="55"/>
    </row>
    <row r="35" customFormat="false" ht="18" hidden="false" customHeight="true" outlineLevel="0" collapsed="false">
      <c r="A35" s="18" t="n">
        <v>10</v>
      </c>
      <c r="B35" s="61" t="s">
        <v>170</v>
      </c>
      <c r="C35" s="31" t="n">
        <f aca="false">C20</f>
        <v>178.5696</v>
      </c>
      <c r="D35" s="55"/>
      <c r="E35" s="55"/>
      <c r="F35" s="51" t="n">
        <f aca="false">D35+E35</f>
        <v>0</v>
      </c>
      <c r="G35" s="31" t="n">
        <f aca="false">F35-C35</f>
        <v>-178.5696</v>
      </c>
      <c r="H35" s="19" t="n">
        <f aca="false">IF(C35&gt;0,F35/C35,0)</f>
        <v>0</v>
      </c>
      <c r="I35" s="55"/>
      <c r="J35" s="55"/>
    </row>
    <row r="36" customFormat="false" ht="18" hidden="false" customHeight="true" outlineLevel="0" collapsed="false">
      <c r="A36" s="18" t="n">
        <v>11</v>
      </c>
      <c r="B36" s="61" t="s">
        <v>170</v>
      </c>
      <c r="C36" s="31" t="n">
        <f aca="false">C20</f>
        <v>178.5696</v>
      </c>
      <c r="D36" s="55"/>
      <c r="E36" s="55"/>
      <c r="F36" s="51" t="n">
        <f aca="false">D36+E36</f>
        <v>0</v>
      </c>
      <c r="G36" s="31" t="n">
        <f aca="false">F36-C36</f>
        <v>-178.5696</v>
      </c>
      <c r="H36" s="19" t="n">
        <f aca="false">IF(C36&gt;0,F36/C36,0)</f>
        <v>0</v>
      </c>
      <c r="I36" s="55"/>
      <c r="J36" s="55"/>
    </row>
    <row r="37" customFormat="false" ht="18" hidden="false" customHeight="true" outlineLevel="0" collapsed="false">
      <c r="A37" s="18" t="n">
        <v>12</v>
      </c>
      <c r="B37" s="61" t="s">
        <v>170</v>
      </c>
      <c r="C37" s="31" t="n">
        <f aca="false">C20</f>
        <v>178.5696</v>
      </c>
      <c r="D37" s="55"/>
      <c r="E37" s="55"/>
      <c r="F37" s="51" t="n">
        <f aca="false">D37+E37</f>
        <v>0</v>
      </c>
      <c r="G37" s="31" t="n">
        <f aca="false">F37-C37</f>
        <v>-178.5696</v>
      </c>
      <c r="H37" s="19" t="n">
        <f aca="false">IF(C37&gt;0,F37/C37,0)</f>
        <v>0</v>
      </c>
      <c r="I37" s="55"/>
      <c r="J37" s="55"/>
    </row>
    <row r="38" customFormat="false" ht="18" hidden="false" customHeight="true" outlineLevel="0" collapsed="false">
      <c r="A38" s="18" t="n">
        <v>13</v>
      </c>
      <c r="B38" s="61" t="s">
        <v>170</v>
      </c>
      <c r="C38" s="31" t="n">
        <f aca="false">C20</f>
        <v>178.5696</v>
      </c>
      <c r="D38" s="55"/>
      <c r="E38" s="55"/>
      <c r="F38" s="51" t="n">
        <f aca="false">D38+E38</f>
        <v>0</v>
      </c>
      <c r="G38" s="31" t="n">
        <f aca="false">F38-C38</f>
        <v>-178.5696</v>
      </c>
      <c r="H38" s="19" t="n">
        <f aca="false">IF(C38&gt;0,F38/C38,0)</f>
        <v>0</v>
      </c>
      <c r="I38" s="55"/>
      <c r="J38" s="55"/>
    </row>
    <row r="39" customFormat="false" ht="18" hidden="false" customHeight="true" outlineLevel="0" collapsed="false">
      <c r="A39" s="20" t="s">
        <v>364</v>
      </c>
      <c r="B39" s="22"/>
      <c r="C39" s="21" t="n">
        <f aca="false">SUM(C26:C38)</f>
        <v>2321.4048</v>
      </c>
      <c r="D39" s="21" t="n">
        <f aca="false">SUM(D26:D38)</f>
        <v>0</v>
      </c>
      <c r="E39" s="21" t="n">
        <f aca="false">SUM(E26:E38)</f>
        <v>0</v>
      </c>
      <c r="F39" s="21" t="n">
        <f aca="false">SUM(F26:F38)</f>
        <v>0</v>
      </c>
      <c r="G39" s="21" t="n">
        <f aca="false">F39-C39</f>
        <v>-2321.4048</v>
      </c>
      <c r="H39" s="23" t="n">
        <f aca="false">IF(C39&gt;0,F39/C39,0)</f>
        <v>0</v>
      </c>
      <c r="I39" s="21" t="n">
        <f aca="false">SUM(I26:I38)</f>
        <v>0</v>
      </c>
      <c r="J39" s="21" t="n">
        <f aca="false">SUM(J26:J38)</f>
        <v>0</v>
      </c>
    </row>
    <row r="40" customFormat="false" ht="18" hidden="false" customHeight="true" outlineLevel="0" collapsed="false">
      <c r="A40" s="5" t="s">
        <v>365</v>
      </c>
      <c r="B40" s="5" t="str">
        <f aca="false">IF(H39&gt;=1,"GREEN",IF(H39&gt;=0.8,"AMBER","RED"))</f>
        <v>RED</v>
      </c>
    </row>
    <row r="42" customFormat="false" ht="24" hidden="false" customHeight="true" outlineLevel="0" collapsed="false">
      <c r="A42" s="3" t="s">
        <v>366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30" hidden="false" customHeight="true" outlineLevel="0" collapsed="false">
      <c r="A43" s="4" t="s">
        <v>174</v>
      </c>
      <c r="B43" s="4" t="s">
        <v>72</v>
      </c>
      <c r="C43" s="4" t="s">
        <v>281</v>
      </c>
      <c r="D43" s="4" t="s">
        <v>197</v>
      </c>
      <c r="E43" s="4" t="s">
        <v>367</v>
      </c>
      <c r="F43" s="4" t="s">
        <v>368</v>
      </c>
      <c r="G43" s="4" t="s">
        <v>282</v>
      </c>
      <c r="H43" s="4" t="s">
        <v>199</v>
      </c>
      <c r="I43" s="4" t="s">
        <v>283</v>
      </c>
      <c r="J43" s="4" t="s">
        <v>369</v>
      </c>
    </row>
    <row r="44" customFormat="false" ht="18" hidden="false" customHeight="true" outlineLevel="0" collapsed="false">
      <c r="A44" s="11" t="s">
        <v>210</v>
      </c>
      <c r="B44" s="11" t="s">
        <v>49</v>
      </c>
      <c r="C44" s="79" t="s">
        <v>362</v>
      </c>
      <c r="D44" s="9" t="n">
        <v>12</v>
      </c>
      <c r="E44" s="9" t="n">
        <v>12</v>
      </c>
      <c r="F44" s="18" t="n">
        <f aca="false">IF(D44="","",D44*E44)</f>
        <v>144</v>
      </c>
      <c r="G44" s="17" t="n">
        <v>12000</v>
      </c>
      <c r="H44" s="29" t="n">
        <f aca="false">IF(D44="","",D44*G44)</f>
        <v>144000</v>
      </c>
      <c r="I44" s="29" t="n">
        <f aca="false">IF(H44="","",H44*Assumptions!B17)</f>
        <v>42307.2</v>
      </c>
      <c r="J44" s="26" t="n">
        <f aca="false">IF(H44="","",H44+I44)</f>
        <v>186307.2</v>
      </c>
    </row>
    <row r="45" customFormat="false" ht="18" hidden="false" customHeight="true" outlineLevel="0" collapsed="false">
      <c r="A45" s="11" t="s">
        <v>410</v>
      </c>
      <c r="B45" s="11" t="s">
        <v>50</v>
      </c>
      <c r="C45" s="79" t="s">
        <v>362</v>
      </c>
      <c r="D45" s="9" t="n">
        <v>8</v>
      </c>
      <c r="E45" s="9" t="n">
        <v>12</v>
      </c>
      <c r="F45" s="18" t="n">
        <f aca="false">IF(D45="","",D45*E45)</f>
        <v>96</v>
      </c>
      <c r="G45" s="17" t="n">
        <v>4391</v>
      </c>
      <c r="H45" s="29" t="n">
        <f aca="false">IF(D45="","",D45*G45)</f>
        <v>35128</v>
      </c>
      <c r="I45" s="29" t="n">
        <f aca="false">IF(H45="","",H45*Assumptions!B17)</f>
        <v>10320.6064</v>
      </c>
      <c r="J45" s="26" t="n">
        <f aca="false">IF(H45="","",H45+I45)</f>
        <v>45448.6064</v>
      </c>
    </row>
    <row r="46" customFormat="false" ht="18" hidden="false" customHeight="true" outlineLevel="0" collapsed="false">
      <c r="A46" s="63"/>
      <c r="B46" s="63"/>
      <c r="C46" s="63"/>
      <c r="D46" s="55"/>
      <c r="E46" s="55"/>
      <c r="F46" s="18" t="str">
        <f aca="false">IF(D46="","",D46*E46)</f>
        <v/>
      </c>
      <c r="G46" s="56"/>
      <c r="H46" s="29" t="str">
        <f aca="false">IF(D46="","",D46*G46)</f>
        <v/>
      </c>
      <c r="I46" s="29" t="str">
        <f aca="false">IF(H46="","",H46*Assumptions!B17)</f>
        <v/>
      </c>
      <c r="J46" s="26" t="str">
        <f aca="false">IF(H46="","",H46+I46)</f>
        <v/>
      </c>
    </row>
    <row r="47" customFormat="false" ht="18" hidden="false" customHeight="true" outlineLevel="0" collapsed="false">
      <c r="A47" s="63"/>
      <c r="B47" s="63"/>
      <c r="C47" s="63"/>
      <c r="D47" s="55"/>
      <c r="E47" s="55"/>
      <c r="F47" s="18" t="str">
        <f aca="false">IF(D47="","",D47*E47)</f>
        <v/>
      </c>
      <c r="G47" s="56"/>
      <c r="H47" s="29" t="str">
        <f aca="false">IF(D47="","",D47*G47)</f>
        <v/>
      </c>
      <c r="I47" s="29" t="str">
        <f aca="false">IF(H47="","",H47*Assumptions!B17)</f>
        <v/>
      </c>
      <c r="J47" s="26" t="str">
        <f aca="false">IF(H47="","",H47+I47)</f>
        <v/>
      </c>
    </row>
    <row r="48" customFormat="false" ht="18" hidden="false" customHeight="true" outlineLevel="0" collapsed="false">
      <c r="A48" s="63"/>
      <c r="B48" s="63"/>
      <c r="C48" s="63"/>
      <c r="D48" s="55"/>
      <c r="E48" s="55"/>
      <c r="F48" s="18" t="str">
        <f aca="false">IF(D48="","",D48*E48)</f>
        <v/>
      </c>
      <c r="G48" s="56"/>
      <c r="H48" s="29" t="str">
        <f aca="false">IF(D48="","",D48*G48)</f>
        <v/>
      </c>
      <c r="I48" s="29" t="str">
        <f aca="false">IF(H48="","",H48*Assumptions!B17)</f>
        <v/>
      </c>
      <c r="J48" s="26" t="str">
        <f aca="false">IF(H48="","",H48+I48)</f>
        <v/>
      </c>
    </row>
    <row r="49" customFormat="false" ht="18" hidden="false" customHeight="true" outlineLevel="0" collapsed="false">
      <c r="A49" s="63"/>
      <c r="B49" s="63"/>
      <c r="C49" s="63"/>
      <c r="D49" s="55"/>
      <c r="E49" s="55"/>
      <c r="F49" s="18" t="str">
        <f aca="false">IF(D49="","",D49*E49)</f>
        <v/>
      </c>
      <c r="G49" s="56"/>
      <c r="H49" s="29" t="str">
        <f aca="false">IF(D49="","",D49*G49)</f>
        <v/>
      </c>
      <c r="I49" s="29" t="str">
        <f aca="false">IF(H49="","",H49*Assumptions!B17)</f>
        <v/>
      </c>
      <c r="J49" s="26" t="str">
        <f aca="false">IF(H49="","",H49+I49)</f>
        <v/>
      </c>
    </row>
    <row r="50" customFormat="false" ht="18" hidden="false" customHeight="true" outlineLevel="0" collapsed="false">
      <c r="A50" s="63"/>
      <c r="B50" s="63"/>
      <c r="C50" s="63"/>
      <c r="D50" s="55"/>
      <c r="E50" s="55"/>
      <c r="F50" s="18" t="str">
        <f aca="false">IF(D50="","",D50*E50)</f>
        <v/>
      </c>
      <c r="G50" s="56"/>
      <c r="H50" s="29" t="str">
        <f aca="false">IF(D50="","",D50*G50)</f>
        <v/>
      </c>
      <c r="I50" s="29" t="str">
        <f aca="false">IF(H50="","",H50*Assumptions!B17)</f>
        <v/>
      </c>
      <c r="J50" s="26" t="str">
        <f aca="false">IF(H50="","",H50+I50)</f>
        <v/>
      </c>
    </row>
    <row r="51" customFormat="false" ht="18" hidden="false" customHeight="true" outlineLevel="0" collapsed="false">
      <c r="A51" s="63"/>
      <c r="B51" s="63"/>
      <c r="C51" s="63"/>
      <c r="D51" s="55"/>
      <c r="E51" s="55"/>
      <c r="F51" s="18" t="str">
        <f aca="false">IF(D51="","",D51*E51)</f>
        <v/>
      </c>
      <c r="G51" s="56"/>
      <c r="H51" s="29" t="str">
        <f aca="false">IF(D51="","",D51*G51)</f>
        <v/>
      </c>
      <c r="I51" s="29" t="str">
        <f aca="false">IF(H51="","",H51*Assumptions!B17)</f>
        <v/>
      </c>
      <c r="J51" s="26" t="str">
        <f aca="false">IF(H51="","",H51+I51)</f>
        <v/>
      </c>
    </row>
    <row r="52" customFormat="false" ht="18" hidden="false" customHeight="true" outlineLevel="0" collapsed="false">
      <c r="A52" s="63"/>
      <c r="B52" s="63"/>
      <c r="C52" s="63"/>
      <c r="D52" s="55"/>
      <c r="E52" s="55"/>
      <c r="F52" s="18" t="str">
        <f aca="false">IF(D52="","",D52*E52)</f>
        <v/>
      </c>
      <c r="G52" s="56"/>
      <c r="H52" s="29" t="str">
        <f aca="false">IF(D52="","",D52*G52)</f>
        <v/>
      </c>
      <c r="I52" s="29" t="str">
        <f aca="false">IF(H52="","",H52*Assumptions!B17)</f>
        <v/>
      </c>
      <c r="J52" s="26" t="str">
        <f aca="false">IF(H52="","",H52+I52)</f>
        <v/>
      </c>
    </row>
    <row r="53" customFormat="false" ht="18" hidden="false" customHeight="true" outlineLevel="0" collapsed="false">
      <c r="A53" s="63"/>
      <c r="B53" s="63"/>
      <c r="C53" s="63"/>
      <c r="D53" s="55"/>
      <c r="E53" s="55"/>
      <c r="F53" s="18" t="str">
        <f aca="false">IF(D53="","",D53*E53)</f>
        <v/>
      </c>
      <c r="G53" s="56"/>
      <c r="H53" s="29" t="str">
        <f aca="false">IF(D53="","",D53*G53)</f>
        <v/>
      </c>
      <c r="I53" s="29" t="str">
        <f aca="false">IF(H53="","",H53*Assumptions!B17)</f>
        <v/>
      </c>
      <c r="J53" s="26" t="str">
        <f aca="false">IF(H53="","",H53+I53)</f>
        <v/>
      </c>
    </row>
    <row r="54" customFormat="false" ht="18" hidden="false" customHeight="true" outlineLevel="0" collapsed="false">
      <c r="A54" s="20" t="s">
        <v>370</v>
      </c>
      <c r="B54" s="22"/>
      <c r="C54" s="22"/>
      <c r="D54" s="21" t="n">
        <f aca="false">SUM(D44:D53)</f>
        <v>20</v>
      </c>
      <c r="E54" s="22"/>
      <c r="F54" s="21" t="n">
        <f aca="false">SUM(F44:F53)</f>
        <v>240</v>
      </c>
      <c r="G54" s="22"/>
      <c r="H54" s="32" t="n">
        <f aca="false">SUM(H44:H53)</f>
        <v>179128</v>
      </c>
      <c r="I54" s="32" t="n">
        <f aca="false">SUM(I44:I53)</f>
        <v>52627.8064</v>
      </c>
      <c r="J54" s="32" t="n">
        <f aca="false">SUM(J44:J53)</f>
        <v>231755.8064</v>
      </c>
    </row>
    <row r="56" customFormat="false" ht="24" hidden="false" customHeight="true" outlineLevel="0" collapsed="false">
      <c r="A56" s="3" t="s">
        <v>371</v>
      </c>
      <c r="B56" s="3"/>
      <c r="C56" s="3"/>
      <c r="D56" s="3"/>
      <c r="E56" s="3"/>
      <c r="F56" s="3"/>
      <c r="G56" s="3"/>
      <c r="H56" s="3"/>
      <c r="I56" s="3"/>
      <c r="J56" s="3"/>
    </row>
    <row r="57" customFormat="false" ht="30" hidden="false" customHeight="true" outlineLevel="0" collapsed="false">
      <c r="A57" s="4" t="s">
        <v>174</v>
      </c>
      <c r="B57" s="4" t="s">
        <v>72</v>
      </c>
      <c r="C57" s="4" t="s">
        <v>197</v>
      </c>
      <c r="D57" s="4" t="s">
        <v>372</v>
      </c>
      <c r="E57" s="4" t="s">
        <v>373</v>
      </c>
      <c r="F57" s="4" t="s">
        <v>283</v>
      </c>
      <c r="G57" s="4" t="s">
        <v>374</v>
      </c>
      <c r="H57" s="4" t="s">
        <v>202</v>
      </c>
      <c r="I57" s="4" t="s">
        <v>375</v>
      </c>
      <c r="J57" s="4" t="s">
        <v>205</v>
      </c>
    </row>
    <row r="58" customFormat="false" ht="18" hidden="false" customHeight="true" outlineLevel="0" collapsed="false">
      <c r="A58" s="63"/>
      <c r="B58" s="63"/>
      <c r="C58" s="55"/>
      <c r="D58" s="56"/>
      <c r="E58" s="29" t="str">
        <f aca="false">IF(C58="","",C58*D58)</f>
        <v/>
      </c>
      <c r="F58" s="29" t="str">
        <f aca="false">IF(E58="","",E58*Assumptions!B17)</f>
        <v/>
      </c>
      <c r="G58" s="26" t="str">
        <f aca="false">IF(E58="","",E58+F58)</f>
        <v/>
      </c>
      <c r="H58" s="57"/>
      <c r="I58" s="26" t="str">
        <f aca="false">IF(G58="","",G58*H58)</f>
        <v/>
      </c>
      <c r="J58" s="63"/>
    </row>
    <row r="59" customFormat="false" ht="18" hidden="false" customHeight="true" outlineLevel="0" collapsed="false">
      <c r="A59" s="63"/>
      <c r="B59" s="63"/>
      <c r="C59" s="55"/>
      <c r="D59" s="56"/>
      <c r="E59" s="29" t="str">
        <f aca="false">IF(C59="","",C59*D59)</f>
        <v/>
      </c>
      <c r="F59" s="29" t="str">
        <f aca="false">IF(E59="","",E59*Assumptions!B17)</f>
        <v/>
      </c>
      <c r="G59" s="26" t="str">
        <f aca="false">IF(E59="","",E59+F59)</f>
        <v/>
      </c>
      <c r="H59" s="57"/>
      <c r="I59" s="26" t="str">
        <f aca="false">IF(G59="","",G59*H59)</f>
        <v/>
      </c>
      <c r="J59" s="63"/>
    </row>
    <row r="60" customFormat="false" ht="18" hidden="false" customHeight="true" outlineLevel="0" collapsed="false">
      <c r="A60" s="63"/>
      <c r="B60" s="63"/>
      <c r="C60" s="55"/>
      <c r="D60" s="56"/>
      <c r="E60" s="29" t="str">
        <f aca="false">IF(C60="","",C60*D60)</f>
        <v/>
      </c>
      <c r="F60" s="29" t="str">
        <f aca="false">IF(E60="","",E60*Assumptions!B17)</f>
        <v/>
      </c>
      <c r="G60" s="26" t="str">
        <f aca="false">IF(E60="","",E60+F60)</f>
        <v/>
      </c>
      <c r="H60" s="57"/>
      <c r="I60" s="26" t="str">
        <f aca="false">IF(G60="","",G60*H60)</f>
        <v/>
      </c>
      <c r="J60" s="63"/>
    </row>
    <row r="61" customFormat="false" ht="18" hidden="false" customHeight="true" outlineLevel="0" collapsed="false">
      <c r="A61" s="63"/>
      <c r="B61" s="63"/>
      <c r="C61" s="55"/>
      <c r="D61" s="56"/>
      <c r="E61" s="29" t="str">
        <f aca="false">IF(C61="","",C61*D61)</f>
        <v/>
      </c>
      <c r="F61" s="29" t="str">
        <f aca="false">IF(E61="","",E61*Assumptions!B17)</f>
        <v/>
      </c>
      <c r="G61" s="26" t="str">
        <f aca="false">IF(E61="","",E61+F61)</f>
        <v/>
      </c>
      <c r="H61" s="57"/>
      <c r="I61" s="26" t="str">
        <f aca="false">IF(G61="","",G61*H61)</f>
        <v/>
      </c>
      <c r="J61" s="63"/>
    </row>
    <row r="62" customFormat="false" ht="18" hidden="false" customHeight="true" outlineLevel="0" collapsed="false">
      <c r="A62" s="63"/>
      <c r="B62" s="63"/>
      <c r="C62" s="55"/>
      <c r="D62" s="56"/>
      <c r="E62" s="29" t="str">
        <f aca="false">IF(C62="","",C62*D62)</f>
        <v/>
      </c>
      <c r="F62" s="29" t="str">
        <f aca="false">IF(E62="","",E62*Assumptions!B17)</f>
        <v/>
      </c>
      <c r="G62" s="26" t="str">
        <f aca="false">IF(E62="","",E62+F62)</f>
        <v/>
      </c>
      <c r="H62" s="57"/>
      <c r="I62" s="26" t="str">
        <f aca="false">IF(G62="","",G62*H62)</f>
        <v/>
      </c>
      <c r="J62" s="63"/>
    </row>
    <row r="63" customFormat="false" ht="18" hidden="false" customHeight="true" outlineLevel="0" collapsed="false">
      <c r="A63" s="20" t="s">
        <v>376</v>
      </c>
      <c r="B63" s="22"/>
      <c r="C63" s="21" t="n">
        <f aca="false">SUM(C58:C62)</f>
        <v>0</v>
      </c>
      <c r="D63" s="22"/>
      <c r="E63" s="32" t="n">
        <f aca="false">SUM(E58:E62)</f>
        <v>0</v>
      </c>
      <c r="F63" s="32" t="n">
        <f aca="false">SUM(F58:F62)</f>
        <v>0</v>
      </c>
      <c r="G63" s="32" t="n">
        <f aca="false">SUM(G58:G62)</f>
        <v>0</v>
      </c>
      <c r="H63" s="22"/>
      <c r="I63" s="32" t="n">
        <f aca="false">SUM(I58:I62)</f>
        <v>0</v>
      </c>
      <c r="J63" s="22"/>
    </row>
    <row r="65" customFormat="false" ht="24" hidden="false" customHeight="true" outlineLevel="0" collapsed="false">
      <c r="A65" s="3" t="s">
        <v>377</v>
      </c>
      <c r="B65" s="3"/>
      <c r="C65" s="3"/>
      <c r="D65" s="3"/>
      <c r="E65" s="3"/>
      <c r="F65" s="3"/>
      <c r="G65" s="3"/>
      <c r="H65" s="3"/>
      <c r="I65" s="3"/>
      <c r="J65" s="3"/>
    </row>
    <row r="66" customFormat="false" ht="30" hidden="false" customHeight="true" outlineLevel="0" collapsed="false">
      <c r="A66" s="4" t="s">
        <v>245</v>
      </c>
      <c r="B66" s="4" t="s">
        <v>378</v>
      </c>
      <c r="C66" s="4" t="s">
        <v>379</v>
      </c>
      <c r="D66" s="4" t="s">
        <v>248</v>
      </c>
      <c r="E66" s="4" t="s">
        <v>249</v>
      </c>
      <c r="F66" s="4" t="s">
        <v>240</v>
      </c>
      <c r="G66" s="4" t="s">
        <v>380</v>
      </c>
      <c r="H66" s="4" t="s">
        <v>381</v>
      </c>
      <c r="I66" s="4" t="s">
        <v>382</v>
      </c>
      <c r="J66" s="4" t="s">
        <v>277</v>
      </c>
    </row>
    <row r="67" customFormat="false" ht="18" hidden="false" customHeight="true" outlineLevel="0" collapsed="false">
      <c r="A67" s="7" t="s">
        <v>253</v>
      </c>
      <c r="B67" s="29" t="n">
        <f aca="false">'Practice Allocations'!E7</f>
        <v>25777.07</v>
      </c>
      <c r="C67" s="29" t="n">
        <f aca="false">B67*1</f>
        <v>25777.07</v>
      </c>
      <c r="D67" s="56"/>
      <c r="E67" s="56"/>
      <c r="F67" s="29" t="n">
        <f aca="false">D67+E67</f>
        <v>0</v>
      </c>
      <c r="G67" s="29" t="n">
        <f aca="false">F67</f>
        <v>0</v>
      </c>
      <c r="H67" s="26" t="n">
        <f aca="false">C67-G67</f>
        <v>25777.07</v>
      </c>
      <c r="I67" s="19" t="n">
        <f aca="false">IF(C67&gt;0,G67/C67,0)</f>
        <v>0</v>
      </c>
      <c r="J67" s="5" t="str">
        <f aca="false">IF(H67&lt;0,"OVERSPEND",IF(I67&gt;0.9,"HIGH","OK"))</f>
        <v>OK</v>
      </c>
    </row>
    <row r="68" customFormat="false" ht="18" hidden="false" customHeight="true" outlineLevel="0" collapsed="false">
      <c r="A68" s="7" t="s">
        <v>254</v>
      </c>
      <c r="B68" s="29" t="n">
        <f aca="false">'Practice Allocations'!E7</f>
        <v>25777.07</v>
      </c>
      <c r="C68" s="29" t="n">
        <f aca="false">B68*2</f>
        <v>51554.14</v>
      </c>
      <c r="D68" s="56"/>
      <c r="E68" s="56"/>
      <c r="F68" s="29" t="n">
        <f aca="false">D68+E68</f>
        <v>0</v>
      </c>
      <c r="G68" s="29" t="n">
        <f aca="false">G67+F68</f>
        <v>0</v>
      </c>
      <c r="H68" s="26" t="n">
        <f aca="false">C68-G68</f>
        <v>51554.14</v>
      </c>
      <c r="I68" s="19" t="n">
        <f aca="false">IF(C68&gt;0,G68/C68,0)</f>
        <v>0</v>
      </c>
      <c r="J68" s="5" t="str">
        <f aca="false">IF(H68&lt;0,"OVERSPEND",IF(I68&gt;0.9,"HIGH","OK"))</f>
        <v>OK</v>
      </c>
    </row>
    <row r="69" customFormat="false" ht="18" hidden="false" customHeight="true" outlineLevel="0" collapsed="false">
      <c r="A69" s="7" t="s">
        <v>255</v>
      </c>
      <c r="B69" s="29" t="n">
        <f aca="false">'Practice Allocations'!E7</f>
        <v>25777.07</v>
      </c>
      <c r="C69" s="29" t="n">
        <f aca="false">B69*3</f>
        <v>77331.21</v>
      </c>
      <c r="D69" s="56"/>
      <c r="E69" s="56"/>
      <c r="F69" s="29" t="n">
        <f aca="false">D69+E69</f>
        <v>0</v>
      </c>
      <c r="G69" s="29" t="n">
        <f aca="false">G68+F69</f>
        <v>0</v>
      </c>
      <c r="H69" s="26" t="n">
        <f aca="false">C69-G69</f>
        <v>77331.21</v>
      </c>
      <c r="I69" s="19" t="n">
        <f aca="false">IF(C69&gt;0,G69/C69,0)</f>
        <v>0</v>
      </c>
      <c r="J69" s="5" t="str">
        <f aca="false">IF(H69&lt;0,"OVERSPEND",IF(I69&gt;0.9,"HIGH","OK"))</f>
        <v>OK</v>
      </c>
    </row>
    <row r="70" customFormat="false" ht="18" hidden="false" customHeight="true" outlineLevel="0" collapsed="false">
      <c r="A70" s="7" t="s">
        <v>256</v>
      </c>
      <c r="B70" s="29" t="n">
        <f aca="false">'Practice Allocations'!E7</f>
        <v>25777.07</v>
      </c>
      <c r="C70" s="29" t="n">
        <f aca="false">B70*4</f>
        <v>103108.28</v>
      </c>
      <c r="D70" s="56"/>
      <c r="E70" s="56"/>
      <c r="F70" s="29" t="n">
        <f aca="false">D70+E70</f>
        <v>0</v>
      </c>
      <c r="G70" s="29" t="n">
        <f aca="false">G69+F70</f>
        <v>0</v>
      </c>
      <c r="H70" s="26" t="n">
        <f aca="false">C70-G70</f>
        <v>103108.28</v>
      </c>
      <c r="I70" s="19" t="n">
        <f aca="false">IF(C70&gt;0,G70/C70,0)</f>
        <v>0</v>
      </c>
      <c r="J70" s="5" t="str">
        <f aca="false">IF(H70&lt;0,"OVERSPEND",IF(I70&gt;0.9,"HIGH","OK"))</f>
        <v>OK</v>
      </c>
    </row>
    <row r="71" customFormat="false" ht="18" hidden="false" customHeight="true" outlineLevel="0" collapsed="false">
      <c r="A71" s="7" t="s">
        <v>257</v>
      </c>
      <c r="B71" s="29" t="n">
        <f aca="false">'Practice Allocations'!E7</f>
        <v>25777.07</v>
      </c>
      <c r="C71" s="29" t="n">
        <f aca="false">B71*5</f>
        <v>128885.35</v>
      </c>
      <c r="D71" s="56"/>
      <c r="E71" s="56"/>
      <c r="F71" s="29" t="n">
        <f aca="false">D71+E71</f>
        <v>0</v>
      </c>
      <c r="G71" s="29" t="n">
        <f aca="false">G70+F71</f>
        <v>0</v>
      </c>
      <c r="H71" s="26" t="n">
        <f aca="false">C71-G71</f>
        <v>128885.35</v>
      </c>
      <c r="I71" s="19" t="n">
        <f aca="false">IF(C71&gt;0,G71/C71,0)</f>
        <v>0</v>
      </c>
      <c r="J71" s="5" t="str">
        <f aca="false">IF(H71&lt;0,"OVERSPEND",IF(I71&gt;0.9,"HIGH","OK"))</f>
        <v>OK</v>
      </c>
    </row>
    <row r="72" customFormat="false" ht="18" hidden="false" customHeight="true" outlineLevel="0" collapsed="false">
      <c r="A72" s="7" t="s">
        <v>258</v>
      </c>
      <c r="B72" s="29" t="n">
        <f aca="false">'Practice Allocations'!E7</f>
        <v>25777.07</v>
      </c>
      <c r="C72" s="29" t="n">
        <f aca="false">B72*6</f>
        <v>154662.42</v>
      </c>
      <c r="D72" s="56"/>
      <c r="E72" s="56"/>
      <c r="F72" s="29" t="n">
        <f aca="false">D72+E72</f>
        <v>0</v>
      </c>
      <c r="G72" s="29" t="n">
        <f aca="false">G71+F72</f>
        <v>0</v>
      </c>
      <c r="H72" s="26" t="n">
        <f aca="false">C72-G72</f>
        <v>154662.42</v>
      </c>
      <c r="I72" s="19" t="n">
        <f aca="false">IF(C72&gt;0,G72/C72,0)</f>
        <v>0</v>
      </c>
      <c r="J72" s="5" t="str">
        <f aca="false">IF(H72&lt;0,"OVERSPEND",IF(I72&gt;0.9,"HIGH","OK"))</f>
        <v>OK</v>
      </c>
    </row>
    <row r="73" customFormat="false" ht="18" hidden="false" customHeight="true" outlineLevel="0" collapsed="false">
      <c r="A73" s="7" t="s">
        <v>259</v>
      </c>
      <c r="B73" s="29" t="n">
        <f aca="false">'Practice Allocations'!E7</f>
        <v>25777.07</v>
      </c>
      <c r="C73" s="29" t="n">
        <f aca="false">B73*7</f>
        <v>180439.49</v>
      </c>
      <c r="D73" s="56"/>
      <c r="E73" s="56"/>
      <c r="F73" s="29" t="n">
        <f aca="false">D73+E73</f>
        <v>0</v>
      </c>
      <c r="G73" s="29" t="n">
        <f aca="false">G72+F73</f>
        <v>0</v>
      </c>
      <c r="H73" s="26" t="n">
        <f aca="false">C73-G73</f>
        <v>180439.49</v>
      </c>
      <c r="I73" s="19" t="n">
        <f aca="false">IF(C73&gt;0,G73/C73,0)</f>
        <v>0</v>
      </c>
      <c r="J73" s="5" t="str">
        <f aca="false">IF(H73&lt;0,"OVERSPEND",IF(I73&gt;0.9,"HIGH","OK"))</f>
        <v>OK</v>
      </c>
    </row>
    <row r="74" customFormat="false" ht="18" hidden="false" customHeight="true" outlineLevel="0" collapsed="false">
      <c r="A74" s="7" t="s">
        <v>260</v>
      </c>
      <c r="B74" s="29" t="n">
        <f aca="false">'Practice Allocations'!E7</f>
        <v>25777.07</v>
      </c>
      <c r="C74" s="29" t="n">
        <f aca="false">B74*8</f>
        <v>206216.56</v>
      </c>
      <c r="D74" s="56"/>
      <c r="E74" s="56"/>
      <c r="F74" s="29" t="n">
        <f aca="false">D74+E74</f>
        <v>0</v>
      </c>
      <c r="G74" s="29" t="n">
        <f aca="false">G73+F74</f>
        <v>0</v>
      </c>
      <c r="H74" s="26" t="n">
        <f aca="false">C74-G74</f>
        <v>206216.56</v>
      </c>
      <c r="I74" s="19" t="n">
        <f aca="false">IF(C74&gt;0,G74/C74,0)</f>
        <v>0</v>
      </c>
      <c r="J74" s="5" t="str">
        <f aca="false">IF(H74&lt;0,"OVERSPEND",IF(I74&gt;0.9,"HIGH","OK"))</f>
        <v>OK</v>
      </c>
    </row>
    <row r="75" customFormat="false" ht="18" hidden="false" customHeight="true" outlineLevel="0" collapsed="false">
      <c r="A75" s="7" t="s">
        <v>261</v>
      </c>
      <c r="B75" s="29" t="n">
        <f aca="false">'Practice Allocations'!E7</f>
        <v>25777.07</v>
      </c>
      <c r="C75" s="29" t="n">
        <f aca="false">B75*9</f>
        <v>231993.63</v>
      </c>
      <c r="D75" s="56"/>
      <c r="E75" s="56"/>
      <c r="F75" s="29" t="n">
        <f aca="false">D75+E75</f>
        <v>0</v>
      </c>
      <c r="G75" s="29" t="n">
        <f aca="false">G74+F75</f>
        <v>0</v>
      </c>
      <c r="H75" s="26" t="n">
        <f aca="false">C75-G75</f>
        <v>231993.63</v>
      </c>
      <c r="I75" s="19" t="n">
        <f aca="false">IF(C75&gt;0,G75/C75,0)</f>
        <v>0</v>
      </c>
      <c r="J75" s="5" t="str">
        <f aca="false">IF(H75&lt;0,"OVERSPEND",IF(I75&gt;0.9,"HIGH","OK"))</f>
        <v>OK</v>
      </c>
    </row>
    <row r="76" customFormat="false" ht="18" hidden="false" customHeight="true" outlineLevel="0" collapsed="false">
      <c r="A76" s="7" t="s">
        <v>262</v>
      </c>
      <c r="B76" s="29" t="n">
        <f aca="false">'Practice Allocations'!E7</f>
        <v>25777.07</v>
      </c>
      <c r="C76" s="29" t="n">
        <f aca="false">B76*10</f>
        <v>257770.7</v>
      </c>
      <c r="D76" s="56"/>
      <c r="E76" s="56"/>
      <c r="F76" s="29" t="n">
        <f aca="false">D76+E76</f>
        <v>0</v>
      </c>
      <c r="G76" s="29" t="n">
        <f aca="false">G75+F76</f>
        <v>0</v>
      </c>
      <c r="H76" s="26" t="n">
        <f aca="false">C76-G76</f>
        <v>257770.7</v>
      </c>
      <c r="I76" s="19" t="n">
        <f aca="false">IF(C76&gt;0,G76/C76,0)</f>
        <v>0</v>
      </c>
      <c r="J76" s="5" t="str">
        <f aca="false">IF(H76&lt;0,"OVERSPEND",IF(I76&gt;0.9,"HIGH","OK"))</f>
        <v>OK</v>
      </c>
    </row>
    <row r="77" customFormat="false" ht="18" hidden="false" customHeight="true" outlineLevel="0" collapsed="false">
      <c r="A77" s="7" t="s">
        <v>263</v>
      </c>
      <c r="B77" s="29" t="n">
        <f aca="false">'Practice Allocations'!E7</f>
        <v>25777.07</v>
      </c>
      <c r="C77" s="29" t="n">
        <f aca="false">B77*11</f>
        <v>283547.77</v>
      </c>
      <c r="D77" s="56"/>
      <c r="E77" s="56"/>
      <c r="F77" s="29" t="n">
        <f aca="false">D77+E77</f>
        <v>0</v>
      </c>
      <c r="G77" s="29" t="n">
        <f aca="false">G76+F77</f>
        <v>0</v>
      </c>
      <c r="H77" s="26" t="n">
        <f aca="false">C77-G77</f>
        <v>283547.77</v>
      </c>
      <c r="I77" s="19" t="n">
        <f aca="false">IF(C77&gt;0,G77/C77,0)</f>
        <v>0</v>
      </c>
      <c r="J77" s="5" t="str">
        <f aca="false">IF(H77&lt;0,"OVERSPEND",IF(I77&gt;0.9,"HIGH","OK"))</f>
        <v>OK</v>
      </c>
    </row>
    <row r="78" customFormat="false" ht="18" hidden="false" customHeight="true" outlineLevel="0" collapsed="false">
      <c r="A78" s="7" t="s">
        <v>264</v>
      </c>
      <c r="B78" s="29" t="n">
        <f aca="false">'Practice Allocations'!E7</f>
        <v>25777.07</v>
      </c>
      <c r="C78" s="29" t="n">
        <f aca="false">B78*12</f>
        <v>309324.84</v>
      </c>
      <c r="D78" s="56"/>
      <c r="E78" s="56"/>
      <c r="F78" s="29" t="n">
        <f aca="false">D78+E78</f>
        <v>0</v>
      </c>
      <c r="G78" s="29" t="n">
        <f aca="false">G77+F78</f>
        <v>0</v>
      </c>
      <c r="H78" s="26" t="n">
        <f aca="false">C78-G78</f>
        <v>309324.84</v>
      </c>
      <c r="I78" s="19" t="n">
        <f aca="false">IF(C78&gt;0,G78/C78,0)</f>
        <v>0</v>
      </c>
      <c r="J78" s="5" t="str">
        <f aca="false">IF(H78&lt;0,"OVERSPEND",IF(I78&gt;0.9,"HIGH","OK"))</f>
        <v>OK</v>
      </c>
    </row>
    <row r="79" customFormat="false" ht="18" hidden="false" customHeight="true" outlineLevel="0" collapsed="false">
      <c r="A79" s="20" t="s">
        <v>383</v>
      </c>
      <c r="B79" s="32" t="n">
        <f aca="false">SUM(B67:B78)</f>
        <v>309324.84</v>
      </c>
      <c r="C79" s="32" t="n">
        <f aca="false">C78</f>
        <v>309324.84</v>
      </c>
      <c r="D79" s="32" t="n">
        <f aca="false">SUM(D67:D78)</f>
        <v>0</v>
      </c>
      <c r="E79" s="32" t="n">
        <f aca="false">SUM(E67:E78)</f>
        <v>0</v>
      </c>
      <c r="F79" s="32" t="n">
        <f aca="false">SUM(F67:F78)</f>
        <v>0</v>
      </c>
      <c r="G79" s="32" t="n">
        <f aca="false">G78</f>
        <v>0</v>
      </c>
      <c r="H79" s="32" t="n">
        <f aca="false">H78</f>
        <v>309324.84</v>
      </c>
      <c r="I79" s="23" t="n">
        <f aca="false">I78</f>
        <v>0</v>
      </c>
      <c r="J79" s="22"/>
    </row>
    <row r="81" customFormat="false" ht="24" hidden="false" customHeight="true" outlineLevel="0" collapsed="false">
      <c r="A81" s="3" t="s">
        <v>384</v>
      </c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8" hidden="false" customHeight="true" outlineLevel="0" collapsed="false">
      <c r="A82" s="5" t="s">
        <v>385</v>
      </c>
      <c r="B82" s="30" t="n">
        <f aca="false">F22</f>
        <v>9743.7912</v>
      </c>
    </row>
    <row r="83" customFormat="false" ht="18" hidden="false" customHeight="true" outlineLevel="0" collapsed="false">
      <c r="A83" s="5" t="s">
        <v>386</v>
      </c>
      <c r="B83" s="30" t="n">
        <f aca="false">F39</f>
        <v>0</v>
      </c>
    </row>
    <row r="84" customFormat="false" ht="18" hidden="false" customHeight="true" outlineLevel="0" collapsed="false">
      <c r="A84" s="5" t="s">
        <v>387</v>
      </c>
      <c r="B84" s="52" t="n">
        <f aca="false">IF(B82&gt;0,B83/B82,0)</f>
        <v>0</v>
      </c>
    </row>
    <row r="85" customFormat="false" ht="18" hidden="false" customHeight="true" outlineLevel="0" collapsed="false">
      <c r="A85" s="5" t="s">
        <v>388</v>
      </c>
      <c r="B85" s="30" t="n">
        <f aca="false">IF(COUNTA(F26:F38)&gt;0,AVERAGE(F26:F38),0)</f>
        <v>0</v>
      </c>
    </row>
    <row r="86" customFormat="false" ht="18" hidden="false" customHeight="true" outlineLevel="0" collapsed="false">
      <c r="A86" s="5" t="s">
        <v>389</v>
      </c>
      <c r="B86" s="30" t="n">
        <f aca="false">C20</f>
        <v>178.5696</v>
      </c>
    </row>
    <row r="87" customFormat="false" ht="18" hidden="false" customHeight="true" outlineLevel="0" collapsed="false">
      <c r="A87" s="5" t="s">
        <v>390</v>
      </c>
      <c r="B87" s="30" t="n">
        <f aca="false">B85-B86</f>
        <v>-178.5696</v>
      </c>
    </row>
    <row r="88" customFormat="false" ht="18" hidden="false" customHeight="true" outlineLevel="0" collapsed="false">
      <c r="A88" s="5" t="s">
        <v>391</v>
      </c>
      <c r="B88" s="52" t="n">
        <f aca="false">IF(F39&gt;0,E39/F39,0)</f>
        <v>0</v>
      </c>
    </row>
    <row r="89" customFormat="false" ht="18" hidden="false" customHeight="true" outlineLevel="0" collapsed="false">
      <c r="A89" s="5" t="s">
        <v>392</v>
      </c>
      <c r="B89" s="30" t="str">
        <f aca="false">IF(B90&gt;=0.5,"YES — Compliant","NO — Below 50%")</f>
        <v>YES — Compliant</v>
      </c>
    </row>
    <row r="90" customFormat="false" ht="18" hidden="false" customHeight="true" outlineLevel="0" collapsed="false">
      <c r="A90" s="5" t="s">
        <v>393</v>
      </c>
      <c r="B90" s="26" t="n">
        <f aca="false">J54</f>
        <v>231755.8064</v>
      </c>
    </row>
    <row r="91" customFormat="false" ht="18" hidden="false" customHeight="true" outlineLevel="0" collapsed="false">
      <c r="A91" s="5" t="s">
        <v>394</v>
      </c>
      <c r="B91" s="26" t="n">
        <f aca="false">I63</f>
        <v>0</v>
      </c>
    </row>
    <row r="92" customFormat="false" ht="18" hidden="false" customHeight="true" outlineLevel="0" collapsed="false">
      <c r="A92" s="5" t="s">
        <v>395</v>
      </c>
      <c r="B92" s="26" t="n">
        <f aca="false">B90+B91</f>
        <v>231755.8064</v>
      </c>
    </row>
    <row r="93" customFormat="false" ht="18" hidden="false" customHeight="true" outlineLevel="0" collapsed="false">
      <c r="A93" s="5" t="s">
        <v>396</v>
      </c>
      <c r="B93" s="26" t="n">
        <f aca="false">'Practice Allocations'!D7-B94</f>
        <v>309324.84</v>
      </c>
    </row>
    <row r="95" customFormat="false" ht="24" hidden="false" customHeight="true" outlineLevel="0" collapsed="false">
      <c r="A95" s="3" t="s">
        <v>397</v>
      </c>
      <c r="B95" s="3"/>
      <c r="C95" s="3"/>
      <c r="D95" s="3"/>
      <c r="E95" s="3"/>
      <c r="F95" s="3"/>
      <c r="G95" s="3"/>
      <c r="H95" s="3"/>
      <c r="I95" s="3"/>
      <c r="J95" s="3"/>
    </row>
    <row r="96" customFormat="false" ht="30" hidden="false" customHeight="true" outlineLevel="0" collapsed="false">
      <c r="A96" s="4" t="s">
        <v>398</v>
      </c>
      <c r="B96" s="4" t="s">
        <v>208</v>
      </c>
      <c r="C96" s="4" t="s">
        <v>399</v>
      </c>
      <c r="D96" s="4" t="s">
        <v>400</v>
      </c>
      <c r="E96" s="4" t="s">
        <v>401</v>
      </c>
      <c r="F96" s="4" t="s">
        <v>205</v>
      </c>
      <c r="G96" s="4" t="s">
        <v>402</v>
      </c>
      <c r="H96" s="4"/>
      <c r="I96" s="4"/>
      <c r="J96" s="4"/>
    </row>
    <row r="97" customFormat="false" ht="18" hidden="false" customHeight="true" outlineLevel="0" collapsed="false">
      <c r="A97" s="63"/>
      <c r="B97" s="63"/>
      <c r="C97" s="63"/>
      <c r="D97" s="56"/>
      <c r="E97" s="63"/>
      <c r="F97" s="63"/>
      <c r="G97" s="63"/>
      <c r="H97" s="7"/>
      <c r="I97" s="7"/>
      <c r="J97" s="7"/>
    </row>
    <row r="98" customFormat="false" ht="18" hidden="false" customHeight="true" outlineLevel="0" collapsed="false">
      <c r="A98" s="63"/>
      <c r="B98" s="63"/>
      <c r="C98" s="63"/>
      <c r="D98" s="56"/>
      <c r="E98" s="63"/>
      <c r="F98" s="63"/>
      <c r="G98" s="63"/>
      <c r="H98" s="49"/>
      <c r="I98" s="49"/>
      <c r="J98" s="49"/>
    </row>
    <row r="99" customFormat="false" ht="18" hidden="false" customHeight="true" outlineLevel="0" collapsed="false">
      <c r="A99" s="63"/>
      <c r="B99" s="63"/>
      <c r="C99" s="63"/>
      <c r="D99" s="56"/>
      <c r="E99" s="63"/>
      <c r="F99" s="63"/>
      <c r="G99" s="63"/>
      <c r="H99" s="7"/>
      <c r="I99" s="7"/>
      <c r="J99" s="7"/>
    </row>
    <row r="100" customFormat="false" ht="18" hidden="false" customHeight="true" outlineLevel="0" collapsed="false">
      <c r="A100" s="63"/>
      <c r="B100" s="63"/>
      <c r="C100" s="63"/>
      <c r="D100" s="56"/>
      <c r="E100" s="63"/>
      <c r="F100" s="63"/>
      <c r="G100" s="63"/>
      <c r="H100" s="49"/>
      <c r="I100" s="49"/>
      <c r="J100" s="49"/>
    </row>
    <row r="101" customFormat="false" ht="18" hidden="false" customHeight="true" outlineLevel="0" collapsed="false">
      <c r="A101" s="63"/>
      <c r="B101" s="63"/>
      <c r="C101" s="63"/>
      <c r="D101" s="56"/>
      <c r="E101" s="63"/>
      <c r="F101" s="63"/>
      <c r="G101" s="63"/>
      <c r="H101" s="7"/>
      <c r="I101" s="7"/>
      <c r="J101" s="7"/>
    </row>
    <row r="103" customFormat="false" ht="24" hidden="false" customHeight="true" outlineLevel="0" collapsed="false">
      <c r="A103" s="3" t="s">
        <v>403</v>
      </c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30" hidden="false" customHeight="true" outlineLevel="0" collapsed="false">
      <c r="A104" s="4" t="s">
        <v>336</v>
      </c>
      <c r="B104" s="4" t="s">
        <v>404</v>
      </c>
      <c r="C104" s="4" t="s">
        <v>405</v>
      </c>
      <c r="D104" s="4" t="s">
        <v>205</v>
      </c>
      <c r="E104" s="4" t="s">
        <v>406</v>
      </c>
      <c r="F104" s="4"/>
      <c r="G104" s="4"/>
      <c r="H104" s="4"/>
      <c r="I104" s="4"/>
      <c r="J104" s="4"/>
    </row>
    <row r="105" customFormat="false" ht="18" hidden="false" customHeight="true" outlineLevel="0" collapsed="false">
      <c r="A105" s="80" t="s">
        <v>411</v>
      </c>
      <c r="B105" s="71" t="s">
        <v>412</v>
      </c>
      <c r="C105" s="47" t="s">
        <v>413</v>
      </c>
      <c r="D105" s="61" t="s">
        <v>414</v>
      </c>
      <c r="E105" s="78"/>
      <c r="F105" s="7"/>
      <c r="G105" s="7"/>
      <c r="H105" s="7"/>
      <c r="I105" s="7"/>
      <c r="J105" s="7"/>
    </row>
    <row r="106" customFormat="false" ht="18" hidden="false" customHeight="true" outlineLevel="0" collapsed="false">
      <c r="A106" s="80" t="s">
        <v>411</v>
      </c>
      <c r="B106" s="47" t="s">
        <v>415</v>
      </c>
      <c r="C106" s="47" t="s">
        <v>413</v>
      </c>
      <c r="D106" s="58" t="s">
        <v>416</v>
      </c>
      <c r="E106" s="78"/>
      <c r="F106" s="49"/>
      <c r="G106" s="49"/>
      <c r="H106" s="49"/>
      <c r="I106" s="49"/>
      <c r="J106" s="49"/>
    </row>
    <row r="107" customFormat="false" ht="18" hidden="false" customHeight="true" outlineLevel="0" collapsed="false">
      <c r="A107" s="80" t="s">
        <v>411</v>
      </c>
      <c r="B107" s="54" t="s">
        <v>417</v>
      </c>
      <c r="C107" s="54" t="s">
        <v>413</v>
      </c>
      <c r="D107" s="54" t="s">
        <v>416</v>
      </c>
      <c r="E107" s="78"/>
      <c r="F107" s="7"/>
      <c r="G107" s="7"/>
      <c r="H107" s="7"/>
      <c r="I107" s="7"/>
      <c r="J107" s="7"/>
    </row>
    <row r="108" customFormat="false" ht="18" hidden="false" customHeight="true" outlineLevel="0" collapsed="false">
      <c r="A108" s="80" t="s">
        <v>411</v>
      </c>
      <c r="B108" s="81" t="s">
        <v>418</v>
      </c>
      <c r="C108" s="81" t="s">
        <v>413</v>
      </c>
      <c r="D108" s="54" t="s">
        <v>416</v>
      </c>
      <c r="E108" s="78"/>
      <c r="F108" s="49"/>
      <c r="G108" s="49"/>
      <c r="H108" s="49"/>
      <c r="I108" s="49"/>
      <c r="J108" s="49"/>
    </row>
    <row r="109" customFormat="false" ht="18" hidden="false" customHeight="true" outlineLevel="0" collapsed="false">
      <c r="A109" s="80" t="s">
        <v>411</v>
      </c>
      <c r="B109" s="81" t="s">
        <v>419</v>
      </c>
      <c r="C109" s="81" t="s">
        <v>420</v>
      </c>
      <c r="D109" s="61" t="s">
        <v>414</v>
      </c>
      <c r="E109" s="78"/>
      <c r="F109" s="7"/>
      <c r="G109" s="7"/>
      <c r="H109" s="7"/>
      <c r="I109" s="7"/>
      <c r="J109" s="7"/>
    </row>
    <row r="110" customFormat="false" ht="18" hidden="false" customHeight="true" outlineLevel="0" collapsed="false">
      <c r="A110" s="78"/>
      <c r="B110" s="63"/>
      <c r="C110" s="63"/>
      <c r="D110" s="63"/>
      <c r="E110" s="78"/>
      <c r="F110" s="49"/>
      <c r="G110" s="49"/>
      <c r="H110" s="49"/>
      <c r="I110" s="49"/>
      <c r="J110" s="49"/>
    </row>
    <row r="111" customFormat="false" ht="18" hidden="false" customHeight="true" outlineLevel="0" collapsed="false">
      <c r="A111" s="78"/>
      <c r="B111" s="63"/>
      <c r="C111" s="63"/>
      <c r="D111" s="63"/>
      <c r="E111" s="78"/>
      <c r="F111" s="7"/>
      <c r="G111" s="7"/>
      <c r="H111" s="7"/>
      <c r="I111" s="7"/>
      <c r="J111" s="7"/>
    </row>
    <row r="112" customFormat="false" ht="18" hidden="false" customHeight="true" outlineLevel="0" collapsed="false">
      <c r="A112" s="78"/>
      <c r="B112" s="63"/>
      <c r="C112" s="63"/>
      <c r="D112" s="63"/>
      <c r="E112" s="78"/>
      <c r="F112" s="49"/>
      <c r="G112" s="49"/>
      <c r="H112" s="49"/>
      <c r="I112" s="49"/>
      <c r="J112" s="49"/>
    </row>
    <row r="113" customFormat="false" ht="18" hidden="false" customHeight="true" outlineLevel="0" collapsed="false">
      <c r="A113" s="78"/>
      <c r="B113" s="63"/>
      <c r="C113" s="63"/>
      <c r="D113" s="63"/>
      <c r="E113" s="78"/>
      <c r="F113" s="7"/>
      <c r="G113" s="7"/>
      <c r="H113" s="7"/>
      <c r="I113" s="7"/>
      <c r="J113" s="7"/>
    </row>
    <row r="114" customFormat="false" ht="18" hidden="false" customHeight="true" outlineLevel="0" collapsed="false">
      <c r="A114" s="78"/>
      <c r="B114" s="63"/>
      <c r="C114" s="63"/>
      <c r="D114" s="63"/>
      <c r="E114" s="78"/>
      <c r="F114" s="49"/>
      <c r="G114" s="49"/>
      <c r="H114" s="49"/>
      <c r="I114" s="49"/>
      <c r="J114" s="49"/>
    </row>
  </sheetData>
  <mergeCells count="12">
    <mergeCell ref="A1:J1"/>
    <mergeCell ref="A2:J2"/>
    <mergeCell ref="A4:J4"/>
    <mergeCell ref="A11:J11"/>
    <mergeCell ref="A18:J18"/>
    <mergeCell ref="A24:J24"/>
    <mergeCell ref="A42:J42"/>
    <mergeCell ref="A56:J56"/>
    <mergeCell ref="A65:J65"/>
    <mergeCell ref="A81:J81"/>
    <mergeCell ref="A95:J95"/>
    <mergeCell ref="A103:J103"/>
  </mergeCells>
  <dataValidations count="4">
    <dataValidation allowBlank="true" errorStyle="stop" operator="between" showDropDown="false" showErrorMessage="false" showInputMessage="false" sqref="C44:C53" type="list">
      <formula1>"New SDA,Buy-Back,Existing (Buy-Back Pending)"</formula1>
      <formula2>0</formula2>
    </dataValidation>
    <dataValidation allowBlank="true" errorStyle="stop" operator="between" showDropDown="false" showErrorMessage="false" showInputMessage="false" sqref="J58:J62" type="list">
      <formula1>"Draft,Submitted,Under Review,Approved,Rejected"</formula1>
      <formula2>0</formula2>
    </dataValidation>
    <dataValidation allowBlank="true" errorStyle="stop" operator="between" showDropDown="false" showErrorMessage="false" showInputMessage="false" sqref="F97:F101" type="list">
      <formula1>"Planned,Recruiting,In Post,Delayed,Not Started"</formula1>
      <formula2>0</formula2>
    </dataValidation>
    <dataValidation allowBlank="true" errorStyle="stop" operator="between" showDropDown="false" showErrorMessage="false" showInputMessage="false" sqref="D105:D114" type="list">
      <formula1>"Open,In Progress,Complete,On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421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345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A5" s="5" t="s">
        <v>109</v>
      </c>
      <c r="B5" s="5" t="str">
        <f aca="false">Assumptions!A33</f>
        <v>Bugbrooke Surgery</v>
      </c>
    </row>
    <row r="6" customFormat="false" ht="18" hidden="false" customHeight="true" outlineLevel="0" collapsed="false">
      <c r="A6" s="5" t="s">
        <v>55</v>
      </c>
      <c r="B6" s="51" t="n">
        <f aca="false">Assumptions!B33</f>
        <v>10788</v>
      </c>
    </row>
    <row r="7" customFormat="false" ht="18" hidden="false" customHeight="true" outlineLevel="0" collapsed="false">
      <c r="A7" s="5" t="s">
        <v>346</v>
      </c>
      <c r="B7" s="5" t="s">
        <v>64</v>
      </c>
    </row>
    <row r="8" customFormat="false" ht="18" hidden="false" customHeight="true" outlineLevel="0" collapsed="false">
      <c r="A8" s="5" t="s">
        <v>57</v>
      </c>
      <c r="B8" s="5" t="s">
        <v>61</v>
      </c>
    </row>
    <row r="9" customFormat="false" ht="18" hidden="false" customHeight="true" outlineLevel="0" collapsed="false">
      <c r="A9" s="5" t="s">
        <v>347</v>
      </c>
      <c r="B9" s="52" t="n">
        <f aca="false">Assumptions!E33</f>
        <v>0.120423289873192</v>
      </c>
    </row>
    <row r="11" customFormat="false" ht="24" hidden="false" customHeight="true" outlineLevel="0" collapsed="false">
      <c r="A11" s="3" t="s">
        <v>348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4" t="s">
        <v>183</v>
      </c>
      <c r="B12" s="4" t="s">
        <v>4</v>
      </c>
      <c r="C12" s="4"/>
      <c r="D12" s="4"/>
      <c r="E12" s="4"/>
      <c r="F12" s="4"/>
      <c r="G12" s="4"/>
      <c r="H12" s="4"/>
      <c r="I12" s="4"/>
      <c r="J12" s="4"/>
    </row>
    <row r="13" customFormat="false" ht="18" hidden="false" customHeight="true" outlineLevel="0" collapsed="false">
      <c r="A13" s="5" t="s">
        <v>349</v>
      </c>
      <c r="B13" s="26" t="n">
        <f aca="false">'Practice Allocations'!D8</f>
        <v>284048.04</v>
      </c>
    </row>
    <row r="14" customFormat="false" ht="18" hidden="false" customHeight="true" outlineLevel="0" collapsed="false">
      <c r="A14" s="5" t="s">
        <v>350</v>
      </c>
      <c r="B14" s="26" t="n">
        <f aca="false">'Practice Allocations'!E8</f>
        <v>23670.67</v>
      </c>
    </row>
    <row r="15" customFormat="false" ht="18" hidden="false" customHeight="true" outlineLevel="0" collapsed="false">
      <c r="A15" s="5" t="s">
        <v>351</v>
      </c>
      <c r="B15" s="26" t="n">
        <f aca="false">'Practice Allocations'!F8</f>
        <v>213036.03</v>
      </c>
    </row>
    <row r="16" customFormat="false" ht="18" hidden="false" customHeight="true" outlineLevel="0" collapsed="false">
      <c r="A16" s="5" t="s">
        <v>352</v>
      </c>
      <c r="B16" s="26" t="n">
        <f aca="false">'Practice Allocations'!D8*Assumptions!B16</f>
        <v>71012.01</v>
      </c>
    </row>
    <row r="18" customFormat="false" ht="24" hidden="false" customHeight="true" outlineLevel="0" collapsed="false">
      <c r="A18" s="3" t="s">
        <v>353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30" hidden="false" customHeight="true" outlineLevel="0" collapsed="false">
      <c r="A19" s="4" t="s">
        <v>274</v>
      </c>
      <c r="B19" s="4" t="s">
        <v>354</v>
      </c>
      <c r="C19" s="4" t="s">
        <v>355</v>
      </c>
      <c r="D19" s="4" t="s">
        <v>102</v>
      </c>
      <c r="E19" s="4" t="s">
        <v>103</v>
      </c>
      <c r="F19" s="4" t="s">
        <v>356</v>
      </c>
      <c r="G19" s="4"/>
      <c r="H19" s="4"/>
      <c r="I19" s="4"/>
      <c r="J19" s="4"/>
    </row>
    <row r="20" customFormat="false" ht="18" hidden="false" customHeight="true" outlineLevel="0" collapsed="false">
      <c r="A20" s="71" t="s">
        <v>170</v>
      </c>
      <c r="B20" s="65" t="n">
        <f aca="false">Assumptions!B10</f>
        <v>39</v>
      </c>
      <c r="C20" s="72" t="n">
        <f aca="false">'Practice Allocations'!G8</f>
        <v>163.9776</v>
      </c>
      <c r="D20" s="73" t="n">
        <f aca="false">'Practice Allocations'!H8</f>
        <v>81.9888</v>
      </c>
      <c r="E20" s="73" t="n">
        <f aca="false">'Practice Allocations'!I8</f>
        <v>81.9888</v>
      </c>
      <c r="F20" s="74" t="n">
        <f aca="false">B20*C20</f>
        <v>6395.1264</v>
      </c>
    </row>
    <row r="21" customFormat="false" ht="18" hidden="false" customHeight="true" outlineLevel="0" collapsed="false">
      <c r="A21" s="47" t="s">
        <v>278</v>
      </c>
      <c r="B21" s="75" t="n">
        <f aca="false">Assumptions!B11</f>
        <v>13</v>
      </c>
      <c r="C21" s="76" t="n">
        <f aca="false">'Practice Allocations'!J8</f>
        <v>196.3416</v>
      </c>
      <c r="D21" s="77" t="n">
        <f aca="false">'Practice Allocations'!K8</f>
        <v>98.1708</v>
      </c>
      <c r="E21" s="77" t="n">
        <f aca="false">'Practice Allocations'!L8</f>
        <v>98.1708</v>
      </c>
      <c r="F21" s="48" t="n">
        <f aca="false">B21*C21</f>
        <v>2552.4408</v>
      </c>
    </row>
    <row r="22" customFormat="false" ht="18" hidden="false" customHeight="true" outlineLevel="0" collapsed="false">
      <c r="A22" s="20" t="s">
        <v>265</v>
      </c>
      <c r="B22" s="21" t="n">
        <f aca="false">B20+B21</f>
        <v>52</v>
      </c>
      <c r="C22" s="22"/>
      <c r="D22" s="22"/>
      <c r="E22" s="22"/>
      <c r="F22" s="21" t="n">
        <f aca="false">'Practice Allocations'!M8</f>
        <v>8947.5672</v>
      </c>
    </row>
    <row r="24" customFormat="false" ht="24" hidden="false" customHeight="true" outlineLevel="0" collapsed="false">
      <c r="A24" s="3" t="s">
        <v>357</v>
      </c>
      <c r="B24" s="3"/>
      <c r="C24" s="3"/>
      <c r="D24" s="3"/>
      <c r="E24" s="3"/>
      <c r="F24" s="3"/>
      <c r="G24" s="3"/>
      <c r="H24" s="3"/>
      <c r="I24" s="3"/>
      <c r="J24" s="3"/>
    </row>
    <row r="25" customFormat="false" ht="30" hidden="false" customHeight="true" outlineLevel="0" collapsed="false">
      <c r="A25" s="4" t="s">
        <v>273</v>
      </c>
      <c r="B25" s="4" t="s">
        <v>274</v>
      </c>
      <c r="C25" s="4" t="s">
        <v>358</v>
      </c>
      <c r="D25" s="4" t="s">
        <v>359</v>
      </c>
      <c r="E25" s="4" t="s">
        <v>360</v>
      </c>
      <c r="F25" s="4" t="s">
        <v>275</v>
      </c>
      <c r="G25" s="4" t="s">
        <v>112</v>
      </c>
      <c r="H25" s="4" t="s">
        <v>361</v>
      </c>
      <c r="I25" s="4" t="s">
        <v>362</v>
      </c>
      <c r="J25" s="4" t="s">
        <v>363</v>
      </c>
    </row>
    <row r="26" customFormat="false" ht="18" hidden="false" customHeight="true" outlineLevel="0" collapsed="false">
      <c r="A26" s="18" t="n">
        <v>1</v>
      </c>
      <c r="B26" s="61" t="s">
        <v>170</v>
      </c>
      <c r="C26" s="31" t="n">
        <f aca="false">C20</f>
        <v>163.9776</v>
      </c>
      <c r="D26" s="55"/>
      <c r="E26" s="55"/>
      <c r="F26" s="51" t="n">
        <f aca="false">D26+E26</f>
        <v>0</v>
      </c>
      <c r="G26" s="31" t="n">
        <f aca="false">F26-C26</f>
        <v>-163.9776</v>
      </c>
      <c r="H26" s="19" t="n">
        <f aca="false">IF(C26&gt;0,F26/C26,0)</f>
        <v>0</v>
      </c>
      <c r="I26" s="55"/>
      <c r="J26" s="55"/>
    </row>
    <row r="27" customFormat="false" ht="18" hidden="false" customHeight="true" outlineLevel="0" collapsed="false">
      <c r="A27" s="18" t="n">
        <v>2</v>
      </c>
      <c r="B27" s="61" t="s">
        <v>170</v>
      </c>
      <c r="C27" s="31" t="n">
        <f aca="false">C20</f>
        <v>163.9776</v>
      </c>
      <c r="D27" s="55"/>
      <c r="E27" s="55"/>
      <c r="F27" s="51" t="n">
        <f aca="false">D27+E27</f>
        <v>0</v>
      </c>
      <c r="G27" s="31" t="n">
        <f aca="false">F27-C27</f>
        <v>-163.9776</v>
      </c>
      <c r="H27" s="19" t="n">
        <f aca="false">IF(C27&gt;0,F27/C27,0)</f>
        <v>0</v>
      </c>
      <c r="I27" s="55"/>
      <c r="J27" s="55"/>
    </row>
    <row r="28" customFormat="false" ht="18" hidden="false" customHeight="true" outlineLevel="0" collapsed="false">
      <c r="A28" s="18" t="n">
        <v>3</v>
      </c>
      <c r="B28" s="61" t="s">
        <v>170</v>
      </c>
      <c r="C28" s="31" t="n">
        <f aca="false">C20</f>
        <v>163.9776</v>
      </c>
      <c r="D28" s="55"/>
      <c r="E28" s="55"/>
      <c r="F28" s="51" t="n">
        <f aca="false">D28+E28</f>
        <v>0</v>
      </c>
      <c r="G28" s="31" t="n">
        <f aca="false">F28-C28</f>
        <v>-163.9776</v>
      </c>
      <c r="H28" s="19" t="n">
        <f aca="false">IF(C28&gt;0,F28/C28,0)</f>
        <v>0</v>
      </c>
      <c r="I28" s="55"/>
      <c r="J28" s="55"/>
    </row>
    <row r="29" customFormat="false" ht="18" hidden="false" customHeight="true" outlineLevel="0" collapsed="false">
      <c r="A29" s="18" t="n">
        <v>4</v>
      </c>
      <c r="B29" s="61" t="s">
        <v>170</v>
      </c>
      <c r="C29" s="31" t="n">
        <f aca="false">C20</f>
        <v>163.9776</v>
      </c>
      <c r="D29" s="55"/>
      <c r="E29" s="55"/>
      <c r="F29" s="51" t="n">
        <f aca="false">D29+E29</f>
        <v>0</v>
      </c>
      <c r="G29" s="31" t="n">
        <f aca="false">F29-C29</f>
        <v>-163.9776</v>
      </c>
      <c r="H29" s="19" t="n">
        <f aca="false">IF(C29&gt;0,F29/C29,0)</f>
        <v>0</v>
      </c>
      <c r="I29" s="55"/>
      <c r="J29" s="55"/>
    </row>
    <row r="30" customFormat="false" ht="18" hidden="false" customHeight="true" outlineLevel="0" collapsed="false">
      <c r="A30" s="18" t="n">
        <v>5</v>
      </c>
      <c r="B30" s="61" t="s">
        <v>170</v>
      </c>
      <c r="C30" s="31" t="n">
        <f aca="false">C20</f>
        <v>163.9776</v>
      </c>
      <c r="D30" s="55"/>
      <c r="E30" s="55"/>
      <c r="F30" s="51" t="n">
        <f aca="false">D30+E30</f>
        <v>0</v>
      </c>
      <c r="G30" s="31" t="n">
        <f aca="false">F30-C30</f>
        <v>-163.9776</v>
      </c>
      <c r="H30" s="19" t="n">
        <f aca="false">IF(C30&gt;0,F30/C30,0)</f>
        <v>0</v>
      </c>
      <c r="I30" s="55"/>
      <c r="J30" s="55"/>
    </row>
    <row r="31" customFormat="false" ht="18" hidden="false" customHeight="true" outlineLevel="0" collapsed="false">
      <c r="A31" s="18" t="n">
        <v>6</v>
      </c>
      <c r="B31" s="61" t="s">
        <v>170</v>
      </c>
      <c r="C31" s="31" t="n">
        <f aca="false">C20</f>
        <v>163.9776</v>
      </c>
      <c r="D31" s="55"/>
      <c r="E31" s="55"/>
      <c r="F31" s="51" t="n">
        <f aca="false">D31+E31</f>
        <v>0</v>
      </c>
      <c r="G31" s="31" t="n">
        <f aca="false">F31-C31</f>
        <v>-163.9776</v>
      </c>
      <c r="H31" s="19" t="n">
        <f aca="false">IF(C31&gt;0,F31/C31,0)</f>
        <v>0</v>
      </c>
      <c r="I31" s="55"/>
      <c r="J31" s="55"/>
    </row>
    <row r="32" customFormat="false" ht="18" hidden="false" customHeight="true" outlineLevel="0" collapsed="false">
      <c r="A32" s="18" t="n">
        <v>7</v>
      </c>
      <c r="B32" s="61" t="s">
        <v>170</v>
      </c>
      <c r="C32" s="31" t="n">
        <f aca="false">C20</f>
        <v>163.9776</v>
      </c>
      <c r="D32" s="55"/>
      <c r="E32" s="55"/>
      <c r="F32" s="51" t="n">
        <f aca="false">D32+E32</f>
        <v>0</v>
      </c>
      <c r="G32" s="31" t="n">
        <f aca="false">F32-C32</f>
        <v>-163.9776</v>
      </c>
      <c r="H32" s="19" t="n">
        <f aca="false">IF(C32&gt;0,F32/C32,0)</f>
        <v>0</v>
      </c>
      <c r="I32" s="55"/>
      <c r="J32" s="55"/>
    </row>
    <row r="33" customFormat="false" ht="18" hidden="false" customHeight="true" outlineLevel="0" collapsed="false">
      <c r="A33" s="18" t="n">
        <v>8</v>
      </c>
      <c r="B33" s="61" t="s">
        <v>170</v>
      </c>
      <c r="C33" s="31" t="n">
        <f aca="false">C20</f>
        <v>163.9776</v>
      </c>
      <c r="D33" s="55"/>
      <c r="E33" s="55"/>
      <c r="F33" s="51" t="n">
        <f aca="false">D33+E33</f>
        <v>0</v>
      </c>
      <c r="G33" s="31" t="n">
        <f aca="false">F33-C33</f>
        <v>-163.9776</v>
      </c>
      <c r="H33" s="19" t="n">
        <f aca="false">IF(C33&gt;0,F33/C33,0)</f>
        <v>0</v>
      </c>
      <c r="I33" s="55"/>
      <c r="J33" s="55"/>
    </row>
    <row r="34" customFormat="false" ht="18" hidden="false" customHeight="true" outlineLevel="0" collapsed="false">
      <c r="A34" s="18" t="n">
        <v>9</v>
      </c>
      <c r="B34" s="61" t="s">
        <v>170</v>
      </c>
      <c r="C34" s="31" t="n">
        <f aca="false">C20</f>
        <v>163.9776</v>
      </c>
      <c r="D34" s="55"/>
      <c r="E34" s="55"/>
      <c r="F34" s="51" t="n">
        <f aca="false">D34+E34</f>
        <v>0</v>
      </c>
      <c r="G34" s="31" t="n">
        <f aca="false">F34-C34</f>
        <v>-163.9776</v>
      </c>
      <c r="H34" s="19" t="n">
        <f aca="false">IF(C34&gt;0,F34/C34,0)</f>
        <v>0</v>
      </c>
      <c r="I34" s="55"/>
      <c r="J34" s="55"/>
    </row>
    <row r="35" customFormat="false" ht="18" hidden="false" customHeight="true" outlineLevel="0" collapsed="false">
      <c r="A35" s="18" t="n">
        <v>10</v>
      </c>
      <c r="B35" s="61" t="s">
        <v>170</v>
      </c>
      <c r="C35" s="31" t="n">
        <f aca="false">C20</f>
        <v>163.9776</v>
      </c>
      <c r="D35" s="55"/>
      <c r="E35" s="55"/>
      <c r="F35" s="51" t="n">
        <f aca="false">D35+E35</f>
        <v>0</v>
      </c>
      <c r="G35" s="31" t="n">
        <f aca="false">F35-C35</f>
        <v>-163.9776</v>
      </c>
      <c r="H35" s="19" t="n">
        <f aca="false">IF(C35&gt;0,F35/C35,0)</f>
        <v>0</v>
      </c>
      <c r="I35" s="55"/>
      <c r="J35" s="55"/>
    </row>
    <row r="36" customFormat="false" ht="18" hidden="false" customHeight="true" outlineLevel="0" collapsed="false">
      <c r="A36" s="18" t="n">
        <v>11</v>
      </c>
      <c r="B36" s="61" t="s">
        <v>170</v>
      </c>
      <c r="C36" s="31" t="n">
        <f aca="false">C20</f>
        <v>163.9776</v>
      </c>
      <c r="D36" s="55"/>
      <c r="E36" s="55"/>
      <c r="F36" s="51" t="n">
        <f aca="false">D36+E36</f>
        <v>0</v>
      </c>
      <c r="G36" s="31" t="n">
        <f aca="false">F36-C36</f>
        <v>-163.9776</v>
      </c>
      <c r="H36" s="19" t="n">
        <f aca="false">IF(C36&gt;0,F36/C36,0)</f>
        <v>0</v>
      </c>
      <c r="I36" s="55"/>
      <c r="J36" s="55"/>
    </row>
    <row r="37" customFormat="false" ht="18" hidden="false" customHeight="true" outlineLevel="0" collapsed="false">
      <c r="A37" s="18" t="n">
        <v>12</v>
      </c>
      <c r="B37" s="61" t="s">
        <v>170</v>
      </c>
      <c r="C37" s="31" t="n">
        <f aca="false">C20</f>
        <v>163.9776</v>
      </c>
      <c r="D37" s="55"/>
      <c r="E37" s="55"/>
      <c r="F37" s="51" t="n">
        <f aca="false">D37+E37</f>
        <v>0</v>
      </c>
      <c r="G37" s="31" t="n">
        <f aca="false">F37-C37</f>
        <v>-163.9776</v>
      </c>
      <c r="H37" s="19" t="n">
        <f aca="false">IF(C37&gt;0,F37/C37,0)</f>
        <v>0</v>
      </c>
      <c r="I37" s="55"/>
      <c r="J37" s="55"/>
    </row>
    <row r="38" customFormat="false" ht="18" hidden="false" customHeight="true" outlineLevel="0" collapsed="false">
      <c r="A38" s="18" t="n">
        <v>13</v>
      </c>
      <c r="B38" s="61" t="s">
        <v>170</v>
      </c>
      <c r="C38" s="31" t="n">
        <f aca="false">C20</f>
        <v>163.9776</v>
      </c>
      <c r="D38" s="55"/>
      <c r="E38" s="55"/>
      <c r="F38" s="51" t="n">
        <f aca="false">D38+E38</f>
        <v>0</v>
      </c>
      <c r="G38" s="31" t="n">
        <f aca="false">F38-C38</f>
        <v>-163.9776</v>
      </c>
      <c r="H38" s="19" t="n">
        <f aca="false">IF(C38&gt;0,F38/C38,0)</f>
        <v>0</v>
      </c>
      <c r="I38" s="55"/>
      <c r="J38" s="55"/>
    </row>
    <row r="39" customFormat="false" ht="18" hidden="false" customHeight="true" outlineLevel="0" collapsed="false">
      <c r="A39" s="20" t="s">
        <v>364</v>
      </c>
      <c r="B39" s="22"/>
      <c r="C39" s="21" t="n">
        <f aca="false">SUM(C26:C38)</f>
        <v>2131.7088</v>
      </c>
      <c r="D39" s="21" t="n">
        <f aca="false">SUM(D26:D38)</f>
        <v>0</v>
      </c>
      <c r="E39" s="21" t="n">
        <f aca="false">SUM(E26:E38)</f>
        <v>0</v>
      </c>
      <c r="F39" s="21" t="n">
        <f aca="false">SUM(F26:F38)</f>
        <v>0</v>
      </c>
      <c r="G39" s="21" t="n">
        <f aca="false">F39-C39</f>
        <v>-2131.7088</v>
      </c>
      <c r="H39" s="23" t="n">
        <f aca="false">IF(C39&gt;0,F39/C39,0)</f>
        <v>0</v>
      </c>
      <c r="I39" s="21" t="n">
        <f aca="false">SUM(I26:I38)</f>
        <v>0</v>
      </c>
      <c r="J39" s="21" t="n">
        <f aca="false">SUM(J26:J38)</f>
        <v>0</v>
      </c>
    </row>
    <row r="40" customFormat="false" ht="18" hidden="false" customHeight="true" outlineLevel="0" collapsed="false">
      <c r="A40" s="5" t="s">
        <v>365</v>
      </c>
      <c r="B40" s="5" t="str">
        <f aca="false">IF(H39&gt;=1,"GREEN",IF(H39&gt;=0.8,"AMBER","RED"))</f>
        <v>RED</v>
      </c>
    </row>
    <row r="42" customFormat="false" ht="24" hidden="false" customHeight="true" outlineLevel="0" collapsed="false">
      <c r="A42" s="3" t="s">
        <v>366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30" hidden="false" customHeight="true" outlineLevel="0" collapsed="false">
      <c r="A43" s="4" t="s">
        <v>174</v>
      </c>
      <c r="B43" s="4" t="s">
        <v>72</v>
      </c>
      <c r="C43" s="4" t="s">
        <v>281</v>
      </c>
      <c r="D43" s="4" t="s">
        <v>197</v>
      </c>
      <c r="E43" s="4" t="s">
        <v>367</v>
      </c>
      <c r="F43" s="4" t="s">
        <v>368</v>
      </c>
      <c r="G43" s="4" t="s">
        <v>282</v>
      </c>
      <c r="H43" s="4" t="s">
        <v>199</v>
      </c>
      <c r="I43" s="4" t="s">
        <v>283</v>
      </c>
      <c r="J43" s="4" t="s">
        <v>369</v>
      </c>
    </row>
    <row r="44" customFormat="false" ht="18" hidden="false" customHeight="true" outlineLevel="0" collapsed="false">
      <c r="A44" s="63"/>
      <c r="B44" s="63"/>
      <c r="C44" s="63"/>
      <c r="D44" s="55"/>
      <c r="E44" s="55"/>
      <c r="F44" s="18" t="str">
        <f aca="false">IF(D44="","",D44*E44)</f>
        <v/>
      </c>
      <c r="G44" s="56"/>
      <c r="H44" s="29" t="str">
        <f aca="false">IF(D44="","",D44*G44)</f>
        <v/>
      </c>
      <c r="I44" s="29" t="str">
        <f aca="false">IF(H44="","",H44*Assumptions!B17)</f>
        <v/>
      </c>
      <c r="J44" s="26" t="str">
        <f aca="false">IF(H44="","",H44+I44)</f>
        <v/>
      </c>
    </row>
    <row r="45" customFormat="false" ht="18" hidden="false" customHeight="true" outlineLevel="0" collapsed="false">
      <c r="A45" s="63"/>
      <c r="B45" s="63"/>
      <c r="C45" s="63"/>
      <c r="D45" s="55"/>
      <c r="E45" s="55"/>
      <c r="F45" s="18" t="str">
        <f aca="false">IF(D45="","",D45*E45)</f>
        <v/>
      </c>
      <c r="G45" s="56"/>
      <c r="H45" s="29" t="str">
        <f aca="false">IF(D45="","",D45*G45)</f>
        <v/>
      </c>
      <c r="I45" s="29" t="str">
        <f aca="false">IF(H45="","",H45*Assumptions!B17)</f>
        <v/>
      </c>
      <c r="J45" s="26" t="str">
        <f aca="false">IF(H45="","",H45+I45)</f>
        <v/>
      </c>
    </row>
    <row r="46" customFormat="false" ht="18" hidden="false" customHeight="true" outlineLevel="0" collapsed="false">
      <c r="A46" s="63"/>
      <c r="B46" s="63"/>
      <c r="C46" s="63"/>
      <c r="D46" s="55"/>
      <c r="E46" s="55"/>
      <c r="F46" s="18" t="str">
        <f aca="false">IF(D46="","",D46*E46)</f>
        <v/>
      </c>
      <c r="G46" s="56"/>
      <c r="H46" s="29" t="str">
        <f aca="false">IF(D46="","",D46*G46)</f>
        <v/>
      </c>
      <c r="I46" s="29" t="str">
        <f aca="false">IF(H46="","",H46*Assumptions!B17)</f>
        <v/>
      </c>
      <c r="J46" s="26" t="str">
        <f aca="false">IF(H46="","",H46+I46)</f>
        <v/>
      </c>
    </row>
    <row r="47" customFormat="false" ht="18" hidden="false" customHeight="true" outlineLevel="0" collapsed="false">
      <c r="A47" s="63"/>
      <c r="B47" s="63"/>
      <c r="C47" s="63"/>
      <c r="D47" s="55"/>
      <c r="E47" s="55"/>
      <c r="F47" s="18" t="str">
        <f aca="false">IF(D47="","",D47*E47)</f>
        <v/>
      </c>
      <c r="G47" s="56"/>
      <c r="H47" s="29" t="str">
        <f aca="false">IF(D47="","",D47*G47)</f>
        <v/>
      </c>
      <c r="I47" s="29" t="str">
        <f aca="false">IF(H47="","",H47*Assumptions!B17)</f>
        <v/>
      </c>
      <c r="J47" s="26" t="str">
        <f aca="false">IF(H47="","",H47+I47)</f>
        <v/>
      </c>
    </row>
    <row r="48" customFormat="false" ht="18" hidden="false" customHeight="true" outlineLevel="0" collapsed="false">
      <c r="A48" s="63"/>
      <c r="B48" s="63"/>
      <c r="C48" s="63"/>
      <c r="D48" s="55"/>
      <c r="E48" s="55"/>
      <c r="F48" s="18" t="str">
        <f aca="false">IF(D48="","",D48*E48)</f>
        <v/>
      </c>
      <c r="G48" s="56"/>
      <c r="H48" s="29" t="str">
        <f aca="false">IF(D48="","",D48*G48)</f>
        <v/>
      </c>
      <c r="I48" s="29" t="str">
        <f aca="false">IF(H48="","",H48*Assumptions!B17)</f>
        <v/>
      </c>
      <c r="J48" s="26" t="str">
        <f aca="false">IF(H48="","",H48+I48)</f>
        <v/>
      </c>
    </row>
    <row r="49" customFormat="false" ht="18" hidden="false" customHeight="true" outlineLevel="0" collapsed="false">
      <c r="A49" s="63"/>
      <c r="B49" s="63"/>
      <c r="C49" s="63"/>
      <c r="D49" s="55"/>
      <c r="E49" s="55"/>
      <c r="F49" s="18" t="str">
        <f aca="false">IF(D49="","",D49*E49)</f>
        <v/>
      </c>
      <c r="G49" s="56"/>
      <c r="H49" s="29" t="str">
        <f aca="false">IF(D49="","",D49*G49)</f>
        <v/>
      </c>
      <c r="I49" s="29" t="str">
        <f aca="false">IF(H49="","",H49*Assumptions!B17)</f>
        <v/>
      </c>
      <c r="J49" s="26" t="str">
        <f aca="false">IF(H49="","",H49+I49)</f>
        <v/>
      </c>
    </row>
    <row r="50" customFormat="false" ht="18" hidden="false" customHeight="true" outlineLevel="0" collapsed="false">
      <c r="A50" s="63"/>
      <c r="B50" s="63"/>
      <c r="C50" s="63"/>
      <c r="D50" s="55"/>
      <c r="E50" s="55"/>
      <c r="F50" s="18" t="str">
        <f aca="false">IF(D50="","",D50*E50)</f>
        <v/>
      </c>
      <c r="G50" s="56"/>
      <c r="H50" s="29" t="str">
        <f aca="false">IF(D50="","",D50*G50)</f>
        <v/>
      </c>
      <c r="I50" s="29" t="str">
        <f aca="false">IF(H50="","",H50*Assumptions!B17)</f>
        <v/>
      </c>
      <c r="J50" s="26" t="str">
        <f aca="false">IF(H50="","",H50+I50)</f>
        <v/>
      </c>
    </row>
    <row r="51" customFormat="false" ht="18" hidden="false" customHeight="true" outlineLevel="0" collapsed="false">
      <c r="A51" s="63"/>
      <c r="B51" s="63"/>
      <c r="C51" s="63"/>
      <c r="D51" s="55"/>
      <c r="E51" s="55"/>
      <c r="F51" s="18" t="str">
        <f aca="false">IF(D51="","",D51*E51)</f>
        <v/>
      </c>
      <c r="G51" s="56"/>
      <c r="H51" s="29" t="str">
        <f aca="false">IF(D51="","",D51*G51)</f>
        <v/>
      </c>
      <c r="I51" s="29" t="str">
        <f aca="false">IF(H51="","",H51*Assumptions!B17)</f>
        <v/>
      </c>
      <c r="J51" s="26" t="str">
        <f aca="false">IF(H51="","",H51+I51)</f>
        <v/>
      </c>
    </row>
    <row r="52" customFormat="false" ht="18" hidden="false" customHeight="true" outlineLevel="0" collapsed="false">
      <c r="A52" s="63"/>
      <c r="B52" s="63"/>
      <c r="C52" s="63"/>
      <c r="D52" s="55"/>
      <c r="E52" s="55"/>
      <c r="F52" s="18" t="str">
        <f aca="false">IF(D52="","",D52*E52)</f>
        <v/>
      </c>
      <c r="G52" s="56"/>
      <c r="H52" s="29" t="str">
        <f aca="false">IF(D52="","",D52*G52)</f>
        <v/>
      </c>
      <c r="I52" s="29" t="str">
        <f aca="false">IF(H52="","",H52*Assumptions!B17)</f>
        <v/>
      </c>
      <c r="J52" s="26" t="str">
        <f aca="false">IF(H52="","",H52+I52)</f>
        <v/>
      </c>
    </row>
    <row r="53" customFormat="false" ht="18" hidden="false" customHeight="true" outlineLevel="0" collapsed="false">
      <c r="A53" s="63"/>
      <c r="B53" s="63"/>
      <c r="C53" s="63"/>
      <c r="D53" s="55"/>
      <c r="E53" s="55"/>
      <c r="F53" s="18" t="str">
        <f aca="false">IF(D53="","",D53*E53)</f>
        <v/>
      </c>
      <c r="G53" s="56"/>
      <c r="H53" s="29" t="str">
        <f aca="false">IF(D53="","",D53*G53)</f>
        <v/>
      </c>
      <c r="I53" s="29" t="str">
        <f aca="false">IF(H53="","",H53*Assumptions!B17)</f>
        <v/>
      </c>
      <c r="J53" s="26" t="str">
        <f aca="false">IF(H53="","",H53+I53)</f>
        <v/>
      </c>
    </row>
    <row r="54" customFormat="false" ht="18" hidden="false" customHeight="true" outlineLevel="0" collapsed="false">
      <c r="A54" s="20" t="s">
        <v>370</v>
      </c>
      <c r="B54" s="22"/>
      <c r="C54" s="22"/>
      <c r="D54" s="21" t="n">
        <f aca="false">SUM(D44:D53)</f>
        <v>0</v>
      </c>
      <c r="E54" s="22"/>
      <c r="F54" s="21" t="n">
        <f aca="false">SUM(F44:F53)</f>
        <v>0</v>
      </c>
      <c r="G54" s="22"/>
      <c r="H54" s="32" t="n">
        <f aca="false">SUM(H44:H53)</f>
        <v>0</v>
      </c>
      <c r="I54" s="32" t="n">
        <f aca="false">SUM(I44:I53)</f>
        <v>0</v>
      </c>
      <c r="J54" s="32" t="n">
        <f aca="false">SUM(J44:J53)</f>
        <v>0</v>
      </c>
    </row>
    <row r="56" customFormat="false" ht="24" hidden="false" customHeight="true" outlineLevel="0" collapsed="false">
      <c r="A56" s="3" t="s">
        <v>371</v>
      </c>
      <c r="B56" s="3"/>
      <c r="C56" s="3"/>
      <c r="D56" s="3"/>
      <c r="E56" s="3"/>
      <c r="F56" s="3"/>
      <c r="G56" s="3"/>
      <c r="H56" s="3"/>
      <c r="I56" s="3"/>
      <c r="J56" s="3"/>
    </row>
    <row r="57" customFormat="false" ht="30" hidden="false" customHeight="true" outlineLevel="0" collapsed="false">
      <c r="A57" s="4" t="s">
        <v>174</v>
      </c>
      <c r="B57" s="4" t="s">
        <v>72</v>
      </c>
      <c r="C57" s="4" t="s">
        <v>197</v>
      </c>
      <c r="D57" s="4" t="s">
        <v>372</v>
      </c>
      <c r="E57" s="4" t="s">
        <v>373</v>
      </c>
      <c r="F57" s="4" t="s">
        <v>283</v>
      </c>
      <c r="G57" s="4" t="s">
        <v>374</v>
      </c>
      <c r="H57" s="4" t="s">
        <v>202</v>
      </c>
      <c r="I57" s="4" t="s">
        <v>375</v>
      </c>
      <c r="J57" s="4" t="s">
        <v>205</v>
      </c>
    </row>
    <row r="58" customFormat="false" ht="18" hidden="false" customHeight="true" outlineLevel="0" collapsed="false">
      <c r="A58" s="63"/>
      <c r="B58" s="63"/>
      <c r="C58" s="55"/>
      <c r="D58" s="56"/>
      <c r="E58" s="29" t="str">
        <f aca="false">IF(C58="","",C58*D58)</f>
        <v/>
      </c>
      <c r="F58" s="29" t="str">
        <f aca="false">IF(E58="","",E58*Assumptions!B17)</f>
        <v/>
      </c>
      <c r="G58" s="26" t="str">
        <f aca="false">IF(E58="","",E58+F58)</f>
        <v/>
      </c>
      <c r="H58" s="57"/>
      <c r="I58" s="26" t="str">
        <f aca="false">IF(G58="","",G58*H58)</f>
        <v/>
      </c>
      <c r="J58" s="63"/>
    </row>
    <row r="59" customFormat="false" ht="18" hidden="false" customHeight="true" outlineLevel="0" collapsed="false">
      <c r="A59" s="63"/>
      <c r="B59" s="63"/>
      <c r="C59" s="55"/>
      <c r="D59" s="56"/>
      <c r="E59" s="29" t="str">
        <f aca="false">IF(C59="","",C59*D59)</f>
        <v/>
      </c>
      <c r="F59" s="29" t="str">
        <f aca="false">IF(E59="","",E59*Assumptions!B17)</f>
        <v/>
      </c>
      <c r="G59" s="26" t="str">
        <f aca="false">IF(E59="","",E59+F59)</f>
        <v/>
      </c>
      <c r="H59" s="57"/>
      <c r="I59" s="26" t="str">
        <f aca="false">IF(G59="","",G59*H59)</f>
        <v/>
      </c>
      <c r="J59" s="63"/>
    </row>
    <row r="60" customFormat="false" ht="18" hidden="false" customHeight="true" outlineLevel="0" collapsed="false">
      <c r="A60" s="63"/>
      <c r="B60" s="63"/>
      <c r="C60" s="55"/>
      <c r="D60" s="56"/>
      <c r="E60" s="29" t="str">
        <f aca="false">IF(C60="","",C60*D60)</f>
        <v/>
      </c>
      <c r="F60" s="29" t="str">
        <f aca="false">IF(E60="","",E60*Assumptions!B17)</f>
        <v/>
      </c>
      <c r="G60" s="26" t="str">
        <f aca="false">IF(E60="","",E60+F60)</f>
        <v/>
      </c>
      <c r="H60" s="57"/>
      <c r="I60" s="26" t="str">
        <f aca="false">IF(G60="","",G60*H60)</f>
        <v/>
      </c>
      <c r="J60" s="63"/>
    </row>
    <row r="61" customFormat="false" ht="18" hidden="false" customHeight="true" outlineLevel="0" collapsed="false">
      <c r="A61" s="63"/>
      <c r="B61" s="63"/>
      <c r="C61" s="55"/>
      <c r="D61" s="56"/>
      <c r="E61" s="29" t="str">
        <f aca="false">IF(C61="","",C61*D61)</f>
        <v/>
      </c>
      <c r="F61" s="29" t="str">
        <f aca="false">IF(E61="","",E61*Assumptions!B17)</f>
        <v/>
      </c>
      <c r="G61" s="26" t="str">
        <f aca="false">IF(E61="","",E61+F61)</f>
        <v/>
      </c>
      <c r="H61" s="57"/>
      <c r="I61" s="26" t="str">
        <f aca="false">IF(G61="","",G61*H61)</f>
        <v/>
      </c>
      <c r="J61" s="63"/>
    </row>
    <row r="62" customFormat="false" ht="18" hidden="false" customHeight="true" outlineLevel="0" collapsed="false">
      <c r="A62" s="63"/>
      <c r="B62" s="63"/>
      <c r="C62" s="55"/>
      <c r="D62" s="56"/>
      <c r="E62" s="29" t="str">
        <f aca="false">IF(C62="","",C62*D62)</f>
        <v/>
      </c>
      <c r="F62" s="29" t="str">
        <f aca="false">IF(E62="","",E62*Assumptions!B17)</f>
        <v/>
      </c>
      <c r="G62" s="26" t="str">
        <f aca="false">IF(E62="","",E62+F62)</f>
        <v/>
      </c>
      <c r="H62" s="57"/>
      <c r="I62" s="26" t="str">
        <f aca="false">IF(G62="","",G62*H62)</f>
        <v/>
      </c>
      <c r="J62" s="63"/>
    </row>
    <row r="63" customFormat="false" ht="18" hidden="false" customHeight="true" outlineLevel="0" collapsed="false">
      <c r="A63" s="20" t="s">
        <v>376</v>
      </c>
      <c r="B63" s="22"/>
      <c r="C63" s="21" t="n">
        <f aca="false">SUM(C58:C62)</f>
        <v>0</v>
      </c>
      <c r="D63" s="22"/>
      <c r="E63" s="32" t="n">
        <f aca="false">SUM(E58:E62)</f>
        <v>0</v>
      </c>
      <c r="F63" s="32" t="n">
        <f aca="false">SUM(F58:F62)</f>
        <v>0</v>
      </c>
      <c r="G63" s="32" t="n">
        <f aca="false">SUM(G58:G62)</f>
        <v>0</v>
      </c>
      <c r="H63" s="22"/>
      <c r="I63" s="32" t="n">
        <f aca="false">SUM(I58:I62)</f>
        <v>0</v>
      </c>
      <c r="J63" s="22"/>
    </row>
    <row r="65" customFormat="false" ht="24" hidden="false" customHeight="true" outlineLevel="0" collapsed="false">
      <c r="A65" s="3" t="s">
        <v>377</v>
      </c>
      <c r="B65" s="3"/>
      <c r="C65" s="3"/>
      <c r="D65" s="3"/>
      <c r="E65" s="3"/>
      <c r="F65" s="3"/>
      <c r="G65" s="3"/>
      <c r="H65" s="3"/>
      <c r="I65" s="3"/>
      <c r="J65" s="3"/>
    </row>
    <row r="66" customFormat="false" ht="30" hidden="false" customHeight="true" outlineLevel="0" collapsed="false">
      <c r="A66" s="4" t="s">
        <v>245</v>
      </c>
      <c r="B66" s="4" t="s">
        <v>378</v>
      </c>
      <c r="C66" s="4" t="s">
        <v>379</v>
      </c>
      <c r="D66" s="4" t="s">
        <v>248</v>
      </c>
      <c r="E66" s="4" t="s">
        <v>249</v>
      </c>
      <c r="F66" s="4" t="s">
        <v>240</v>
      </c>
      <c r="G66" s="4" t="s">
        <v>380</v>
      </c>
      <c r="H66" s="4" t="s">
        <v>381</v>
      </c>
      <c r="I66" s="4" t="s">
        <v>382</v>
      </c>
      <c r="J66" s="4" t="s">
        <v>277</v>
      </c>
    </row>
    <row r="67" customFormat="false" ht="18" hidden="false" customHeight="true" outlineLevel="0" collapsed="false">
      <c r="A67" s="7" t="s">
        <v>253</v>
      </c>
      <c r="B67" s="29" t="n">
        <f aca="false">'Practice Allocations'!E8</f>
        <v>23670.67</v>
      </c>
      <c r="C67" s="29" t="n">
        <f aca="false">B67*1</f>
        <v>23670.67</v>
      </c>
      <c r="D67" s="56"/>
      <c r="E67" s="56"/>
      <c r="F67" s="29" t="n">
        <f aca="false">D67+E67</f>
        <v>0</v>
      </c>
      <c r="G67" s="29" t="n">
        <f aca="false">F67</f>
        <v>0</v>
      </c>
      <c r="H67" s="26" t="n">
        <f aca="false">C67-G67</f>
        <v>23670.67</v>
      </c>
      <c r="I67" s="19" t="n">
        <f aca="false">IF(C67&gt;0,G67/C67,0)</f>
        <v>0</v>
      </c>
      <c r="J67" s="5" t="str">
        <f aca="false">IF(H67&lt;0,"OVERSPEND",IF(I67&gt;0.9,"HIGH","OK"))</f>
        <v>OK</v>
      </c>
    </row>
    <row r="68" customFormat="false" ht="18" hidden="false" customHeight="true" outlineLevel="0" collapsed="false">
      <c r="A68" s="7" t="s">
        <v>254</v>
      </c>
      <c r="B68" s="29" t="n">
        <f aca="false">'Practice Allocations'!E8</f>
        <v>23670.67</v>
      </c>
      <c r="C68" s="29" t="n">
        <f aca="false">B68*2</f>
        <v>47341.34</v>
      </c>
      <c r="D68" s="56"/>
      <c r="E68" s="56"/>
      <c r="F68" s="29" t="n">
        <f aca="false">D68+E68</f>
        <v>0</v>
      </c>
      <c r="G68" s="29" t="n">
        <f aca="false">G67+F68</f>
        <v>0</v>
      </c>
      <c r="H68" s="26" t="n">
        <f aca="false">C68-G68</f>
        <v>47341.34</v>
      </c>
      <c r="I68" s="19" t="n">
        <f aca="false">IF(C68&gt;0,G68/C68,0)</f>
        <v>0</v>
      </c>
      <c r="J68" s="5" t="str">
        <f aca="false">IF(H68&lt;0,"OVERSPEND",IF(I68&gt;0.9,"HIGH","OK"))</f>
        <v>OK</v>
      </c>
    </row>
    <row r="69" customFormat="false" ht="18" hidden="false" customHeight="true" outlineLevel="0" collapsed="false">
      <c r="A69" s="7" t="s">
        <v>255</v>
      </c>
      <c r="B69" s="29" t="n">
        <f aca="false">'Practice Allocations'!E8</f>
        <v>23670.67</v>
      </c>
      <c r="C69" s="29" t="n">
        <f aca="false">B69*3</f>
        <v>71012.01</v>
      </c>
      <c r="D69" s="56"/>
      <c r="E69" s="56"/>
      <c r="F69" s="29" t="n">
        <f aca="false">D69+E69</f>
        <v>0</v>
      </c>
      <c r="G69" s="29" t="n">
        <f aca="false">G68+F69</f>
        <v>0</v>
      </c>
      <c r="H69" s="26" t="n">
        <f aca="false">C69-G69</f>
        <v>71012.01</v>
      </c>
      <c r="I69" s="19" t="n">
        <f aca="false">IF(C69&gt;0,G69/C69,0)</f>
        <v>0</v>
      </c>
      <c r="J69" s="5" t="str">
        <f aca="false">IF(H69&lt;0,"OVERSPEND",IF(I69&gt;0.9,"HIGH","OK"))</f>
        <v>OK</v>
      </c>
    </row>
    <row r="70" customFormat="false" ht="18" hidden="false" customHeight="true" outlineLevel="0" collapsed="false">
      <c r="A70" s="7" t="s">
        <v>256</v>
      </c>
      <c r="B70" s="29" t="n">
        <f aca="false">'Practice Allocations'!E8</f>
        <v>23670.67</v>
      </c>
      <c r="C70" s="29" t="n">
        <f aca="false">B70*4</f>
        <v>94682.68</v>
      </c>
      <c r="D70" s="56"/>
      <c r="E70" s="56"/>
      <c r="F70" s="29" t="n">
        <f aca="false">D70+E70</f>
        <v>0</v>
      </c>
      <c r="G70" s="29" t="n">
        <f aca="false">G69+F70</f>
        <v>0</v>
      </c>
      <c r="H70" s="26" t="n">
        <f aca="false">C70-G70</f>
        <v>94682.68</v>
      </c>
      <c r="I70" s="19" t="n">
        <f aca="false">IF(C70&gt;0,G70/C70,0)</f>
        <v>0</v>
      </c>
      <c r="J70" s="5" t="str">
        <f aca="false">IF(H70&lt;0,"OVERSPEND",IF(I70&gt;0.9,"HIGH","OK"))</f>
        <v>OK</v>
      </c>
    </row>
    <row r="71" customFormat="false" ht="18" hidden="false" customHeight="true" outlineLevel="0" collapsed="false">
      <c r="A71" s="7" t="s">
        <v>257</v>
      </c>
      <c r="B71" s="29" t="n">
        <f aca="false">'Practice Allocations'!E8</f>
        <v>23670.67</v>
      </c>
      <c r="C71" s="29" t="n">
        <f aca="false">B71*5</f>
        <v>118353.35</v>
      </c>
      <c r="D71" s="56"/>
      <c r="E71" s="56"/>
      <c r="F71" s="29" t="n">
        <f aca="false">D71+E71</f>
        <v>0</v>
      </c>
      <c r="G71" s="29" t="n">
        <f aca="false">G70+F71</f>
        <v>0</v>
      </c>
      <c r="H71" s="26" t="n">
        <f aca="false">C71-G71</f>
        <v>118353.35</v>
      </c>
      <c r="I71" s="19" t="n">
        <f aca="false">IF(C71&gt;0,G71/C71,0)</f>
        <v>0</v>
      </c>
      <c r="J71" s="5" t="str">
        <f aca="false">IF(H71&lt;0,"OVERSPEND",IF(I71&gt;0.9,"HIGH","OK"))</f>
        <v>OK</v>
      </c>
    </row>
    <row r="72" customFormat="false" ht="18" hidden="false" customHeight="true" outlineLevel="0" collapsed="false">
      <c r="A72" s="7" t="s">
        <v>258</v>
      </c>
      <c r="B72" s="29" t="n">
        <f aca="false">'Practice Allocations'!E8</f>
        <v>23670.67</v>
      </c>
      <c r="C72" s="29" t="n">
        <f aca="false">B72*6</f>
        <v>142024.02</v>
      </c>
      <c r="D72" s="56"/>
      <c r="E72" s="56"/>
      <c r="F72" s="29" t="n">
        <f aca="false">D72+E72</f>
        <v>0</v>
      </c>
      <c r="G72" s="29" t="n">
        <f aca="false">G71+F72</f>
        <v>0</v>
      </c>
      <c r="H72" s="26" t="n">
        <f aca="false">C72-G72</f>
        <v>142024.02</v>
      </c>
      <c r="I72" s="19" t="n">
        <f aca="false">IF(C72&gt;0,G72/C72,0)</f>
        <v>0</v>
      </c>
      <c r="J72" s="5" t="str">
        <f aca="false">IF(H72&lt;0,"OVERSPEND",IF(I72&gt;0.9,"HIGH","OK"))</f>
        <v>OK</v>
      </c>
    </row>
    <row r="73" customFormat="false" ht="18" hidden="false" customHeight="true" outlineLevel="0" collapsed="false">
      <c r="A73" s="7" t="s">
        <v>259</v>
      </c>
      <c r="B73" s="29" t="n">
        <f aca="false">'Practice Allocations'!E8</f>
        <v>23670.67</v>
      </c>
      <c r="C73" s="29" t="n">
        <f aca="false">B73*7</f>
        <v>165694.69</v>
      </c>
      <c r="D73" s="56"/>
      <c r="E73" s="56"/>
      <c r="F73" s="29" t="n">
        <f aca="false">D73+E73</f>
        <v>0</v>
      </c>
      <c r="G73" s="29" t="n">
        <f aca="false">G72+F73</f>
        <v>0</v>
      </c>
      <c r="H73" s="26" t="n">
        <f aca="false">C73-G73</f>
        <v>165694.69</v>
      </c>
      <c r="I73" s="19" t="n">
        <f aca="false">IF(C73&gt;0,G73/C73,0)</f>
        <v>0</v>
      </c>
      <c r="J73" s="5" t="str">
        <f aca="false">IF(H73&lt;0,"OVERSPEND",IF(I73&gt;0.9,"HIGH","OK"))</f>
        <v>OK</v>
      </c>
    </row>
    <row r="74" customFormat="false" ht="18" hidden="false" customHeight="true" outlineLevel="0" collapsed="false">
      <c r="A74" s="7" t="s">
        <v>260</v>
      </c>
      <c r="B74" s="29" t="n">
        <f aca="false">'Practice Allocations'!E8</f>
        <v>23670.67</v>
      </c>
      <c r="C74" s="29" t="n">
        <f aca="false">B74*8</f>
        <v>189365.36</v>
      </c>
      <c r="D74" s="56"/>
      <c r="E74" s="56"/>
      <c r="F74" s="29" t="n">
        <f aca="false">D74+E74</f>
        <v>0</v>
      </c>
      <c r="G74" s="29" t="n">
        <f aca="false">G73+F74</f>
        <v>0</v>
      </c>
      <c r="H74" s="26" t="n">
        <f aca="false">C74-G74</f>
        <v>189365.36</v>
      </c>
      <c r="I74" s="19" t="n">
        <f aca="false">IF(C74&gt;0,G74/C74,0)</f>
        <v>0</v>
      </c>
      <c r="J74" s="5" t="str">
        <f aca="false">IF(H74&lt;0,"OVERSPEND",IF(I74&gt;0.9,"HIGH","OK"))</f>
        <v>OK</v>
      </c>
    </row>
    <row r="75" customFormat="false" ht="18" hidden="false" customHeight="true" outlineLevel="0" collapsed="false">
      <c r="A75" s="7" t="s">
        <v>261</v>
      </c>
      <c r="B75" s="29" t="n">
        <f aca="false">'Practice Allocations'!E8</f>
        <v>23670.67</v>
      </c>
      <c r="C75" s="29" t="n">
        <f aca="false">B75*9</f>
        <v>213036.03</v>
      </c>
      <c r="D75" s="56"/>
      <c r="E75" s="56"/>
      <c r="F75" s="29" t="n">
        <f aca="false">D75+E75</f>
        <v>0</v>
      </c>
      <c r="G75" s="29" t="n">
        <f aca="false">G74+F75</f>
        <v>0</v>
      </c>
      <c r="H75" s="26" t="n">
        <f aca="false">C75-G75</f>
        <v>213036.03</v>
      </c>
      <c r="I75" s="19" t="n">
        <f aca="false">IF(C75&gt;0,G75/C75,0)</f>
        <v>0</v>
      </c>
      <c r="J75" s="5" t="str">
        <f aca="false">IF(H75&lt;0,"OVERSPEND",IF(I75&gt;0.9,"HIGH","OK"))</f>
        <v>OK</v>
      </c>
    </row>
    <row r="76" customFormat="false" ht="18" hidden="false" customHeight="true" outlineLevel="0" collapsed="false">
      <c r="A76" s="7" t="s">
        <v>262</v>
      </c>
      <c r="B76" s="29" t="n">
        <f aca="false">'Practice Allocations'!E8</f>
        <v>23670.67</v>
      </c>
      <c r="C76" s="29" t="n">
        <f aca="false">B76*10</f>
        <v>236706.7</v>
      </c>
      <c r="D76" s="56"/>
      <c r="E76" s="56"/>
      <c r="F76" s="29" t="n">
        <f aca="false">D76+E76</f>
        <v>0</v>
      </c>
      <c r="G76" s="29" t="n">
        <f aca="false">G75+F76</f>
        <v>0</v>
      </c>
      <c r="H76" s="26" t="n">
        <f aca="false">C76-G76</f>
        <v>236706.7</v>
      </c>
      <c r="I76" s="19" t="n">
        <f aca="false">IF(C76&gt;0,G76/C76,0)</f>
        <v>0</v>
      </c>
      <c r="J76" s="5" t="str">
        <f aca="false">IF(H76&lt;0,"OVERSPEND",IF(I76&gt;0.9,"HIGH","OK"))</f>
        <v>OK</v>
      </c>
    </row>
    <row r="77" customFormat="false" ht="18" hidden="false" customHeight="true" outlineLevel="0" collapsed="false">
      <c r="A77" s="7" t="s">
        <v>263</v>
      </c>
      <c r="B77" s="29" t="n">
        <f aca="false">'Practice Allocations'!E8</f>
        <v>23670.67</v>
      </c>
      <c r="C77" s="29" t="n">
        <f aca="false">B77*11</f>
        <v>260377.37</v>
      </c>
      <c r="D77" s="56"/>
      <c r="E77" s="56"/>
      <c r="F77" s="29" t="n">
        <f aca="false">D77+E77</f>
        <v>0</v>
      </c>
      <c r="G77" s="29" t="n">
        <f aca="false">G76+F77</f>
        <v>0</v>
      </c>
      <c r="H77" s="26" t="n">
        <f aca="false">C77-G77</f>
        <v>260377.37</v>
      </c>
      <c r="I77" s="19" t="n">
        <f aca="false">IF(C77&gt;0,G77/C77,0)</f>
        <v>0</v>
      </c>
      <c r="J77" s="5" t="str">
        <f aca="false">IF(H77&lt;0,"OVERSPEND",IF(I77&gt;0.9,"HIGH","OK"))</f>
        <v>OK</v>
      </c>
    </row>
    <row r="78" customFormat="false" ht="18" hidden="false" customHeight="true" outlineLevel="0" collapsed="false">
      <c r="A78" s="7" t="s">
        <v>264</v>
      </c>
      <c r="B78" s="29" t="n">
        <f aca="false">'Practice Allocations'!E8</f>
        <v>23670.67</v>
      </c>
      <c r="C78" s="29" t="n">
        <f aca="false">B78*12</f>
        <v>284048.04</v>
      </c>
      <c r="D78" s="56"/>
      <c r="E78" s="56"/>
      <c r="F78" s="29" t="n">
        <f aca="false">D78+E78</f>
        <v>0</v>
      </c>
      <c r="G78" s="29" t="n">
        <f aca="false">G77+F78</f>
        <v>0</v>
      </c>
      <c r="H78" s="26" t="n">
        <f aca="false">C78-G78</f>
        <v>284048.04</v>
      </c>
      <c r="I78" s="19" t="n">
        <f aca="false">IF(C78&gt;0,G78/C78,0)</f>
        <v>0</v>
      </c>
      <c r="J78" s="5" t="str">
        <f aca="false">IF(H78&lt;0,"OVERSPEND",IF(I78&gt;0.9,"HIGH","OK"))</f>
        <v>OK</v>
      </c>
    </row>
    <row r="79" customFormat="false" ht="18" hidden="false" customHeight="true" outlineLevel="0" collapsed="false">
      <c r="A79" s="20" t="s">
        <v>383</v>
      </c>
      <c r="B79" s="32" t="n">
        <f aca="false">SUM(B67:B78)</f>
        <v>284048.04</v>
      </c>
      <c r="C79" s="32" t="n">
        <f aca="false">C78</f>
        <v>284048.04</v>
      </c>
      <c r="D79" s="32" t="n">
        <f aca="false">SUM(D67:D78)</f>
        <v>0</v>
      </c>
      <c r="E79" s="32" t="n">
        <f aca="false">SUM(E67:E78)</f>
        <v>0</v>
      </c>
      <c r="F79" s="32" t="n">
        <f aca="false">SUM(F67:F78)</f>
        <v>0</v>
      </c>
      <c r="G79" s="32" t="n">
        <f aca="false">G78</f>
        <v>0</v>
      </c>
      <c r="H79" s="32" t="n">
        <f aca="false">H78</f>
        <v>284048.04</v>
      </c>
      <c r="I79" s="23" t="n">
        <f aca="false">I78</f>
        <v>0</v>
      </c>
      <c r="J79" s="22"/>
    </row>
    <row r="81" customFormat="false" ht="24" hidden="false" customHeight="true" outlineLevel="0" collapsed="false">
      <c r="A81" s="3" t="s">
        <v>384</v>
      </c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8" hidden="false" customHeight="true" outlineLevel="0" collapsed="false">
      <c r="A82" s="5" t="s">
        <v>385</v>
      </c>
      <c r="B82" s="30" t="n">
        <f aca="false">F22</f>
        <v>8947.5672</v>
      </c>
    </row>
    <row r="83" customFormat="false" ht="18" hidden="false" customHeight="true" outlineLevel="0" collapsed="false">
      <c r="A83" s="5" t="s">
        <v>386</v>
      </c>
      <c r="B83" s="30" t="n">
        <f aca="false">F39</f>
        <v>0</v>
      </c>
    </row>
    <row r="84" customFormat="false" ht="18" hidden="false" customHeight="true" outlineLevel="0" collapsed="false">
      <c r="A84" s="5" t="s">
        <v>387</v>
      </c>
      <c r="B84" s="52" t="n">
        <f aca="false">IF(B82&gt;0,B83/B82,0)</f>
        <v>0</v>
      </c>
    </row>
    <row r="85" customFormat="false" ht="18" hidden="false" customHeight="true" outlineLevel="0" collapsed="false">
      <c r="A85" s="5" t="s">
        <v>388</v>
      </c>
      <c r="B85" s="30" t="n">
        <f aca="false">IF(COUNTA(F26:F38)&gt;0,AVERAGE(F26:F38),0)</f>
        <v>0</v>
      </c>
    </row>
    <row r="86" customFormat="false" ht="18" hidden="false" customHeight="true" outlineLevel="0" collapsed="false">
      <c r="A86" s="5" t="s">
        <v>389</v>
      </c>
      <c r="B86" s="30" t="n">
        <f aca="false">C20</f>
        <v>163.9776</v>
      </c>
    </row>
    <row r="87" customFormat="false" ht="18" hidden="false" customHeight="true" outlineLevel="0" collapsed="false">
      <c r="A87" s="5" t="s">
        <v>390</v>
      </c>
      <c r="B87" s="30" t="n">
        <f aca="false">B85-B86</f>
        <v>-163.9776</v>
      </c>
    </row>
    <row r="88" customFormat="false" ht="18" hidden="false" customHeight="true" outlineLevel="0" collapsed="false">
      <c r="A88" s="5" t="s">
        <v>391</v>
      </c>
      <c r="B88" s="52" t="n">
        <f aca="false">IF(F39&gt;0,E39/F39,0)</f>
        <v>0</v>
      </c>
    </row>
    <row r="89" customFormat="false" ht="18" hidden="false" customHeight="true" outlineLevel="0" collapsed="false">
      <c r="A89" s="5" t="s">
        <v>392</v>
      </c>
      <c r="B89" s="30" t="str">
        <f aca="false">IF(B90&gt;=0.5,"YES — Compliant","NO — Below 50%")</f>
        <v>NO — Below 50%</v>
      </c>
    </row>
    <row r="90" customFormat="false" ht="18" hidden="false" customHeight="true" outlineLevel="0" collapsed="false">
      <c r="A90" s="5" t="s">
        <v>393</v>
      </c>
      <c r="B90" s="26" t="n">
        <f aca="false">J54</f>
        <v>0</v>
      </c>
    </row>
    <row r="91" customFormat="false" ht="18" hidden="false" customHeight="true" outlineLevel="0" collapsed="false">
      <c r="A91" s="5" t="s">
        <v>394</v>
      </c>
      <c r="B91" s="26" t="n">
        <f aca="false">I63</f>
        <v>0</v>
      </c>
    </row>
    <row r="92" customFormat="false" ht="18" hidden="false" customHeight="true" outlineLevel="0" collapsed="false">
      <c r="A92" s="5" t="s">
        <v>395</v>
      </c>
      <c r="B92" s="26" t="n">
        <f aca="false">B90+B91</f>
        <v>0</v>
      </c>
    </row>
    <row r="93" customFormat="false" ht="18" hidden="false" customHeight="true" outlineLevel="0" collapsed="false">
      <c r="A93" s="5" t="s">
        <v>396</v>
      </c>
      <c r="B93" s="26" t="n">
        <f aca="false">'Practice Allocations'!D8-B94</f>
        <v>284048.04</v>
      </c>
    </row>
    <row r="95" customFormat="false" ht="24" hidden="false" customHeight="true" outlineLevel="0" collapsed="false">
      <c r="A95" s="3" t="s">
        <v>397</v>
      </c>
      <c r="B95" s="3"/>
      <c r="C95" s="3"/>
      <c r="D95" s="3"/>
      <c r="E95" s="3"/>
      <c r="F95" s="3"/>
      <c r="G95" s="3"/>
      <c r="H95" s="3"/>
      <c r="I95" s="3"/>
      <c r="J95" s="3"/>
    </row>
    <row r="96" customFormat="false" ht="30" hidden="false" customHeight="true" outlineLevel="0" collapsed="false">
      <c r="A96" s="4" t="s">
        <v>398</v>
      </c>
      <c r="B96" s="4" t="s">
        <v>208</v>
      </c>
      <c r="C96" s="4" t="s">
        <v>399</v>
      </c>
      <c r="D96" s="4" t="s">
        <v>400</v>
      </c>
      <c r="E96" s="4" t="s">
        <v>401</v>
      </c>
      <c r="F96" s="4" t="s">
        <v>205</v>
      </c>
      <c r="G96" s="4" t="s">
        <v>402</v>
      </c>
      <c r="H96" s="4"/>
      <c r="I96" s="4"/>
      <c r="J96" s="4"/>
    </row>
    <row r="97" customFormat="false" ht="18" hidden="false" customHeight="true" outlineLevel="0" collapsed="false">
      <c r="A97" s="63"/>
      <c r="B97" s="63"/>
      <c r="C97" s="63"/>
      <c r="D97" s="56"/>
      <c r="E97" s="63"/>
      <c r="F97" s="63"/>
      <c r="G97" s="63"/>
      <c r="H97" s="7"/>
      <c r="I97" s="7"/>
      <c r="J97" s="7"/>
    </row>
    <row r="98" customFormat="false" ht="18" hidden="false" customHeight="true" outlineLevel="0" collapsed="false">
      <c r="A98" s="63"/>
      <c r="B98" s="63"/>
      <c r="C98" s="63"/>
      <c r="D98" s="56"/>
      <c r="E98" s="63"/>
      <c r="F98" s="63"/>
      <c r="G98" s="63"/>
      <c r="H98" s="49"/>
      <c r="I98" s="49"/>
      <c r="J98" s="49"/>
    </row>
    <row r="99" customFormat="false" ht="18" hidden="false" customHeight="true" outlineLevel="0" collapsed="false">
      <c r="A99" s="63"/>
      <c r="B99" s="63"/>
      <c r="C99" s="63"/>
      <c r="D99" s="56"/>
      <c r="E99" s="63"/>
      <c r="F99" s="63"/>
      <c r="G99" s="63"/>
      <c r="H99" s="7"/>
      <c r="I99" s="7"/>
      <c r="J99" s="7"/>
    </row>
    <row r="100" customFormat="false" ht="18" hidden="false" customHeight="true" outlineLevel="0" collapsed="false">
      <c r="A100" s="63"/>
      <c r="B100" s="63"/>
      <c r="C100" s="63"/>
      <c r="D100" s="56"/>
      <c r="E100" s="63"/>
      <c r="F100" s="63"/>
      <c r="G100" s="63"/>
      <c r="H100" s="49"/>
      <c r="I100" s="49"/>
      <c r="J100" s="49"/>
    </row>
    <row r="101" customFormat="false" ht="18" hidden="false" customHeight="true" outlineLevel="0" collapsed="false">
      <c r="A101" s="63"/>
      <c r="B101" s="63"/>
      <c r="C101" s="63"/>
      <c r="D101" s="56"/>
      <c r="E101" s="63"/>
      <c r="F101" s="63"/>
      <c r="G101" s="63"/>
      <c r="H101" s="7"/>
      <c r="I101" s="7"/>
      <c r="J101" s="7"/>
    </row>
    <row r="103" customFormat="false" ht="24" hidden="false" customHeight="true" outlineLevel="0" collapsed="false">
      <c r="A103" s="3" t="s">
        <v>403</v>
      </c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30" hidden="false" customHeight="true" outlineLevel="0" collapsed="false">
      <c r="A104" s="4" t="s">
        <v>336</v>
      </c>
      <c r="B104" s="4" t="s">
        <v>404</v>
      </c>
      <c r="C104" s="4" t="s">
        <v>405</v>
      </c>
      <c r="D104" s="4" t="s">
        <v>205</v>
      </c>
      <c r="E104" s="4" t="s">
        <v>406</v>
      </c>
      <c r="F104" s="4"/>
      <c r="G104" s="4"/>
      <c r="H104" s="4"/>
      <c r="I104" s="4"/>
      <c r="J104" s="4"/>
    </row>
    <row r="105" customFormat="false" ht="18" hidden="false" customHeight="true" outlineLevel="0" collapsed="false">
      <c r="A105" s="78"/>
      <c r="B105" s="63"/>
      <c r="C105" s="63"/>
      <c r="D105" s="63"/>
      <c r="E105" s="78"/>
      <c r="F105" s="7"/>
      <c r="G105" s="7"/>
      <c r="H105" s="7"/>
      <c r="I105" s="7"/>
      <c r="J105" s="7"/>
    </row>
    <row r="106" customFormat="false" ht="18" hidden="false" customHeight="true" outlineLevel="0" collapsed="false">
      <c r="A106" s="78"/>
      <c r="B106" s="63"/>
      <c r="C106" s="63"/>
      <c r="D106" s="63"/>
      <c r="E106" s="78"/>
      <c r="F106" s="49"/>
      <c r="G106" s="49"/>
      <c r="H106" s="49"/>
      <c r="I106" s="49"/>
      <c r="J106" s="49"/>
    </row>
    <row r="107" customFormat="false" ht="18" hidden="false" customHeight="true" outlineLevel="0" collapsed="false">
      <c r="A107" s="78"/>
      <c r="B107" s="63"/>
      <c r="C107" s="63"/>
      <c r="D107" s="63"/>
      <c r="E107" s="78"/>
      <c r="F107" s="7"/>
      <c r="G107" s="7"/>
      <c r="H107" s="7"/>
      <c r="I107" s="7"/>
      <c r="J107" s="7"/>
    </row>
    <row r="108" customFormat="false" ht="18" hidden="false" customHeight="true" outlineLevel="0" collapsed="false">
      <c r="A108" s="78"/>
      <c r="B108" s="63"/>
      <c r="C108" s="63"/>
      <c r="D108" s="63"/>
      <c r="E108" s="78"/>
      <c r="F108" s="49"/>
      <c r="G108" s="49"/>
      <c r="H108" s="49"/>
      <c r="I108" s="49"/>
      <c r="J108" s="49"/>
    </row>
    <row r="109" customFormat="false" ht="18" hidden="false" customHeight="true" outlineLevel="0" collapsed="false">
      <c r="A109" s="78"/>
      <c r="B109" s="63"/>
      <c r="C109" s="63"/>
      <c r="D109" s="63"/>
      <c r="E109" s="78"/>
      <c r="F109" s="7"/>
      <c r="G109" s="7"/>
      <c r="H109" s="7"/>
      <c r="I109" s="7"/>
      <c r="J109" s="7"/>
    </row>
    <row r="110" customFormat="false" ht="18" hidden="false" customHeight="true" outlineLevel="0" collapsed="false">
      <c r="A110" s="78"/>
      <c r="B110" s="63"/>
      <c r="C110" s="63"/>
      <c r="D110" s="63"/>
      <c r="E110" s="78"/>
      <c r="F110" s="49"/>
      <c r="G110" s="49"/>
      <c r="H110" s="49"/>
      <c r="I110" s="49"/>
      <c r="J110" s="49"/>
    </row>
    <row r="111" customFormat="false" ht="18" hidden="false" customHeight="true" outlineLevel="0" collapsed="false">
      <c r="A111" s="78"/>
      <c r="B111" s="63"/>
      <c r="C111" s="63"/>
      <c r="D111" s="63"/>
      <c r="E111" s="78"/>
      <c r="F111" s="7"/>
      <c r="G111" s="7"/>
      <c r="H111" s="7"/>
      <c r="I111" s="7"/>
      <c r="J111" s="7"/>
    </row>
    <row r="112" customFormat="false" ht="18" hidden="false" customHeight="true" outlineLevel="0" collapsed="false">
      <c r="A112" s="78"/>
      <c r="B112" s="63"/>
      <c r="C112" s="63"/>
      <c r="D112" s="63"/>
      <c r="E112" s="78"/>
      <c r="F112" s="49"/>
      <c r="G112" s="49"/>
      <c r="H112" s="49"/>
      <c r="I112" s="49"/>
      <c r="J112" s="49"/>
    </row>
    <row r="113" customFormat="false" ht="18" hidden="false" customHeight="true" outlineLevel="0" collapsed="false">
      <c r="A113" s="78"/>
      <c r="B113" s="63"/>
      <c r="C113" s="63"/>
      <c r="D113" s="63"/>
      <c r="E113" s="78"/>
      <c r="F113" s="7"/>
      <c r="G113" s="7"/>
      <c r="H113" s="7"/>
      <c r="I113" s="7"/>
      <c r="J113" s="7"/>
    </row>
    <row r="114" customFormat="false" ht="18" hidden="false" customHeight="true" outlineLevel="0" collapsed="false">
      <c r="A114" s="78"/>
      <c r="B114" s="63"/>
      <c r="C114" s="63"/>
      <c r="D114" s="63"/>
      <c r="E114" s="78"/>
      <c r="F114" s="49"/>
      <c r="G114" s="49"/>
      <c r="H114" s="49"/>
      <c r="I114" s="49"/>
      <c r="J114" s="49"/>
    </row>
  </sheetData>
  <mergeCells count="12">
    <mergeCell ref="A1:J1"/>
    <mergeCell ref="A2:J2"/>
    <mergeCell ref="A4:J4"/>
    <mergeCell ref="A11:J11"/>
    <mergeCell ref="A18:J18"/>
    <mergeCell ref="A24:J24"/>
    <mergeCell ref="A42:J42"/>
    <mergeCell ref="A56:J56"/>
    <mergeCell ref="A65:J65"/>
    <mergeCell ref="A81:J81"/>
    <mergeCell ref="A95:J95"/>
    <mergeCell ref="A103:J103"/>
  </mergeCells>
  <dataValidations count="4">
    <dataValidation allowBlank="true" errorStyle="stop" operator="between" showDropDown="false" showErrorMessage="false" showInputMessage="false" sqref="C44:C53" type="list">
      <formula1>"New SDA,Buy-Back,Existing (Buy-Back Pending)"</formula1>
      <formula2>0</formula2>
    </dataValidation>
    <dataValidation allowBlank="true" errorStyle="stop" operator="between" showDropDown="false" showErrorMessage="false" showInputMessage="false" sqref="J58:J62" type="list">
      <formula1>"Draft,Submitted,Under Review,Approved,Rejected"</formula1>
      <formula2>0</formula2>
    </dataValidation>
    <dataValidation allowBlank="true" errorStyle="stop" operator="between" showDropDown="false" showErrorMessage="false" showInputMessage="false" sqref="F97:F101" type="list">
      <formula1>"Planned,Recruiting,In Post,Delayed,Not Started"</formula1>
      <formula2>0</formula2>
    </dataValidation>
    <dataValidation allowBlank="true" errorStyle="stop" operator="between" showDropDown="false" showErrorMessage="false" showInputMessage="false" sqref="D105:D114" type="list">
      <formula1>"Open,In Progress,Complete,On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422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345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A5" s="5" t="s">
        <v>109</v>
      </c>
      <c r="B5" s="5" t="str">
        <f aca="false">Assumptions!A34</f>
        <v>Brook Health Centre</v>
      </c>
    </row>
    <row r="6" customFormat="false" ht="18" hidden="false" customHeight="true" outlineLevel="0" collapsed="false">
      <c r="A6" s="5" t="s">
        <v>55</v>
      </c>
      <c r="B6" s="51" t="n">
        <f aca="false">Assumptions!B34</f>
        <v>9069</v>
      </c>
    </row>
    <row r="7" customFormat="false" ht="18" hidden="false" customHeight="true" outlineLevel="0" collapsed="false">
      <c r="A7" s="5" t="s">
        <v>346</v>
      </c>
      <c r="B7" s="5" t="s">
        <v>64</v>
      </c>
    </row>
    <row r="8" customFormat="false" ht="18" hidden="false" customHeight="true" outlineLevel="0" collapsed="false">
      <c r="A8" s="5" t="s">
        <v>57</v>
      </c>
      <c r="B8" s="5" t="s">
        <v>61</v>
      </c>
    </row>
    <row r="9" customFormat="false" ht="18" hidden="false" customHeight="true" outlineLevel="0" collapsed="false">
      <c r="A9" s="5" t="s">
        <v>347</v>
      </c>
      <c r="B9" s="52" t="n">
        <f aca="false">Assumptions!E34</f>
        <v>0.101234595463476</v>
      </c>
    </row>
    <row r="11" customFormat="false" ht="24" hidden="false" customHeight="true" outlineLevel="0" collapsed="false">
      <c r="A11" s="3" t="s">
        <v>348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4" t="s">
        <v>183</v>
      </c>
      <c r="B12" s="4" t="s">
        <v>4</v>
      </c>
      <c r="C12" s="4"/>
      <c r="D12" s="4"/>
      <c r="E12" s="4"/>
      <c r="F12" s="4"/>
      <c r="G12" s="4"/>
      <c r="H12" s="4"/>
      <c r="I12" s="4"/>
      <c r="J12" s="4"/>
    </row>
    <row r="13" customFormat="false" ht="18" hidden="false" customHeight="true" outlineLevel="0" collapsed="false">
      <c r="A13" s="5" t="s">
        <v>349</v>
      </c>
      <c r="B13" s="26" t="n">
        <f aca="false">'Practice Allocations'!D9</f>
        <v>238786.77</v>
      </c>
    </row>
    <row r="14" customFormat="false" ht="18" hidden="false" customHeight="true" outlineLevel="0" collapsed="false">
      <c r="A14" s="5" t="s">
        <v>350</v>
      </c>
      <c r="B14" s="26" t="n">
        <f aca="false">'Practice Allocations'!E9</f>
        <v>19898.8975</v>
      </c>
    </row>
    <row r="15" customFormat="false" ht="18" hidden="false" customHeight="true" outlineLevel="0" collapsed="false">
      <c r="A15" s="5" t="s">
        <v>351</v>
      </c>
      <c r="B15" s="26" t="n">
        <f aca="false">'Practice Allocations'!F9</f>
        <v>179090.0775</v>
      </c>
    </row>
    <row r="16" customFormat="false" ht="18" hidden="false" customHeight="true" outlineLevel="0" collapsed="false">
      <c r="A16" s="5" t="s">
        <v>352</v>
      </c>
      <c r="B16" s="26" t="n">
        <f aca="false">'Practice Allocations'!D9*Assumptions!B16</f>
        <v>59696.6925</v>
      </c>
    </row>
    <row r="18" customFormat="false" ht="24" hidden="false" customHeight="true" outlineLevel="0" collapsed="false">
      <c r="A18" s="3" t="s">
        <v>353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30" hidden="false" customHeight="true" outlineLevel="0" collapsed="false">
      <c r="A19" s="4" t="s">
        <v>274</v>
      </c>
      <c r="B19" s="4" t="s">
        <v>354</v>
      </c>
      <c r="C19" s="4" t="s">
        <v>355</v>
      </c>
      <c r="D19" s="4" t="s">
        <v>102</v>
      </c>
      <c r="E19" s="4" t="s">
        <v>103</v>
      </c>
      <c r="F19" s="4" t="s">
        <v>356</v>
      </c>
      <c r="G19" s="4"/>
      <c r="H19" s="4"/>
      <c r="I19" s="4"/>
      <c r="J19" s="4"/>
    </row>
    <row r="20" customFormat="false" ht="18" hidden="false" customHeight="true" outlineLevel="0" collapsed="false">
      <c r="A20" s="71" t="s">
        <v>170</v>
      </c>
      <c r="B20" s="65" t="n">
        <f aca="false">Assumptions!B10</f>
        <v>39</v>
      </c>
      <c r="C20" s="72" t="n">
        <f aca="false">'Practice Allocations'!G9</f>
        <v>137.8488</v>
      </c>
      <c r="D20" s="73" t="n">
        <f aca="false">'Practice Allocations'!H9</f>
        <v>68.9244</v>
      </c>
      <c r="E20" s="73" t="n">
        <f aca="false">'Practice Allocations'!I9</f>
        <v>68.9244</v>
      </c>
      <c r="F20" s="74" t="n">
        <f aca="false">B20*C20</f>
        <v>5376.1032</v>
      </c>
    </row>
    <row r="21" customFormat="false" ht="18" hidden="false" customHeight="true" outlineLevel="0" collapsed="false">
      <c r="A21" s="47" t="s">
        <v>278</v>
      </c>
      <c r="B21" s="75" t="n">
        <f aca="false">Assumptions!B11</f>
        <v>13</v>
      </c>
      <c r="C21" s="76" t="n">
        <f aca="false">'Practice Allocations'!J9</f>
        <v>165.0558</v>
      </c>
      <c r="D21" s="77" t="n">
        <f aca="false">'Practice Allocations'!K9</f>
        <v>82.5279</v>
      </c>
      <c r="E21" s="77" t="n">
        <f aca="false">'Practice Allocations'!L9</f>
        <v>82.5279</v>
      </c>
      <c r="F21" s="48" t="n">
        <f aca="false">B21*C21</f>
        <v>2145.7254</v>
      </c>
    </row>
    <row r="22" customFormat="false" ht="18" hidden="false" customHeight="true" outlineLevel="0" collapsed="false">
      <c r="A22" s="20" t="s">
        <v>265</v>
      </c>
      <c r="B22" s="21" t="n">
        <f aca="false">B20+B21</f>
        <v>52</v>
      </c>
      <c r="C22" s="22"/>
      <c r="D22" s="22"/>
      <c r="E22" s="22"/>
      <c r="F22" s="21" t="n">
        <f aca="false">'Practice Allocations'!M9</f>
        <v>7521.8286</v>
      </c>
    </row>
    <row r="24" customFormat="false" ht="24" hidden="false" customHeight="true" outlineLevel="0" collapsed="false">
      <c r="A24" s="3" t="s">
        <v>357</v>
      </c>
      <c r="B24" s="3"/>
      <c r="C24" s="3"/>
      <c r="D24" s="3"/>
      <c r="E24" s="3"/>
      <c r="F24" s="3"/>
      <c r="G24" s="3"/>
      <c r="H24" s="3"/>
      <c r="I24" s="3"/>
      <c r="J24" s="3"/>
    </row>
    <row r="25" customFormat="false" ht="30" hidden="false" customHeight="true" outlineLevel="0" collapsed="false">
      <c r="A25" s="4" t="s">
        <v>273</v>
      </c>
      <c r="B25" s="4" t="s">
        <v>274</v>
      </c>
      <c r="C25" s="4" t="s">
        <v>358</v>
      </c>
      <c r="D25" s="4" t="s">
        <v>359</v>
      </c>
      <c r="E25" s="4" t="s">
        <v>360</v>
      </c>
      <c r="F25" s="4" t="s">
        <v>275</v>
      </c>
      <c r="G25" s="4" t="s">
        <v>112</v>
      </c>
      <c r="H25" s="4" t="s">
        <v>361</v>
      </c>
      <c r="I25" s="4" t="s">
        <v>362</v>
      </c>
      <c r="J25" s="4" t="s">
        <v>363</v>
      </c>
    </row>
    <row r="26" customFormat="false" ht="18" hidden="false" customHeight="true" outlineLevel="0" collapsed="false">
      <c r="A26" s="18" t="n">
        <v>1</v>
      </c>
      <c r="B26" s="61" t="s">
        <v>170</v>
      </c>
      <c r="C26" s="31" t="n">
        <f aca="false">C20</f>
        <v>137.8488</v>
      </c>
      <c r="D26" s="55"/>
      <c r="E26" s="55"/>
      <c r="F26" s="51" t="n">
        <f aca="false">D26+E26</f>
        <v>0</v>
      </c>
      <c r="G26" s="31" t="n">
        <f aca="false">F26-C26</f>
        <v>-137.8488</v>
      </c>
      <c r="H26" s="19" t="n">
        <f aca="false">IF(C26&gt;0,F26/C26,0)</f>
        <v>0</v>
      </c>
      <c r="I26" s="55"/>
      <c r="J26" s="55"/>
    </row>
    <row r="27" customFormat="false" ht="18" hidden="false" customHeight="true" outlineLevel="0" collapsed="false">
      <c r="A27" s="18" t="n">
        <v>2</v>
      </c>
      <c r="B27" s="61" t="s">
        <v>170</v>
      </c>
      <c r="C27" s="31" t="n">
        <f aca="false">C20</f>
        <v>137.8488</v>
      </c>
      <c r="D27" s="55"/>
      <c r="E27" s="55"/>
      <c r="F27" s="51" t="n">
        <f aca="false">D27+E27</f>
        <v>0</v>
      </c>
      <c r="G27" s="31" t="n">
        <f aca="false">F27-C27</f>
        <v>-137.8488</v>
      </c>
      <c r="H27" s="19" t="n">
        <f aca="false">IF(C27&gt;0,F27/C27,0)</f>
        <v>0</v>
      </c>
      <c r="I27" s="55"/>
      <c r="J27" s="55"/>
    </row>
    <row r="28" customFormat="false" ht="18" hidden="false" customHeight="true" outlineLevel="0" collapsed="false">
      <c r="A28" s="18" t="n">
        <v>3</v>
      </c>
      <c r="B28" s="61" t="s">
        <v>170</v>
      </c>
      <c r="C28" s="31" t="n">
        <f aca="false">C20</f>
        <v>137.8488</v>
      </c>
      <c r="D28" s="55"/>
      <c r="E28" s="55"/>
      <c r="F28" s="51" t="n">
        <f aca="false">D28+E28</f>
        <v>0</v>
      </c>
      <c r="G28" s="31" t="n">
        <f aca="false">F28-C28</f>
        <v>-137.8488</v>
      </c>
      <c r="H28" s="19" t="n">
        <f aca="false">IF(C28&gt;0,F28/C28,0)</f>
        <v>0</v>
      </c>
      <c r="I28" s="55"/>
      <c r="J28" s="55"/>
    </row>
    <row r="29" customFormat="false" ht="18" hidden="false" customHeight="true" outlineLevel="0" collapsed="false">
      <c r="A29" s="18" t="n">
        <v>4</v>
      </c>
      <c r="B29" s="61" t="s">
        <v>170</v>
      </c>
      <c r="C29" s="31" t="n">
        <f aca="false">C20</f>
        <v>137.8488</v>
      </c>
      <c r="D29" s="55"/>
      <c r="E29" s="55"/>
      <c r="F29" s="51" t="n">
        <f aca="false">D29+E29</f>
        <v>0</v>
      </c>
      <c r="G29" s="31" t="n">
        <f aca="false">F29-C29</f>
        <v>-137.8488</v>
      </c>
      <c r="H29" s="19" t="n">
        <f aca="false">IF(C29&gt;0,F29/C29,0)</f>
        <v>0</v>
      </c>
      <c r="I29" s="55"/>
      <c r="J29" s="55"/>
    </row>
    <row r="30" customFormat="false" ht="18" hidden="false" customHeight="true" outlineLevel="0" collapsed="false">
      <c r="A30" s="18" t="n">
        <v>5</v>
      </c>
      <c r="B30" s="61" t="s">
        <v>170</v>
      </c>
      <c r="C30" s="31" t="n">
        <f aca="false">C20</f>
        <v>137.8488</v>
      </c>
      <c r="D30" s="55"/>
      <c r="E30" s="55"/>
      <c r="F30" s="51" t="n">
        <f aca="false">D30+E30</f>
        <v>0</v>
      </c>
      <c r="G30" s="31" t="n">
        <f aca="false">F30-C30</f>
        <v>-137.8488</v>
      </c>
      <c r="H30" s="19" t="n">
        <f aca="false">IF(C30&gt;0,F30/C30,0)</f>
        <v>0</v>
      </c>
      <c r="I30" s="55"/>
      <c r="J30" s="55"/>
    </row>
    <row r="31" customFormat="false" ht="18" hidden="false" customHeight="true" outlineLevel="0" collapsed="false">
      <c r="A31" s="18" t="n">
        <v>6</v>
      </c>
      <c r="B31" s="61" t="s">
        <v>170</v>
      </c>
      <c r="C31" s="31" t="n">
        <f aca="false">C20</f>
        <v>137.8488</v>
      </c>
      <c r="D31" s="55"/>
      <c r="E31" s="55"/>
      <c r="F31" s="51" t="n">
        <f aca="false">D31+E31</f>
        <v>0</v>
      </c>
      <c r="G31" s="31" t="n">
        <f aca="false">F31-C31</f>
        <v>-137.8488</v>
      </c>
      <c r="H31" s="19" t="n">
        <f aca="false">IF(C31&gt;0,F31/C31,0)</f>
        <v>0</v>
      </c>
      <c r="I31" s="55"/>
      <c r="J31" s="55"/>
    </row>
    <row r="32" customFormat="false" ht="18" hidden="false" customHeight="true" outlineLevel="0" collapsed="false">
      <c r="A32" s="18" t="n">
        <v>7</v>
      </c>
      <c r="B32" s="61" t="s">
        <v>170</v>
      </c>
      <c r="C32" s="31" t="n">
        <f aca="false">C20</f>
        <v>137.8488</v>
      </c>
      <c r="D32" s="55"/>
      <c r="E32" s="55"/>
      <c r="F32" s="51" t="n">
        <f aca="false">D32+E32</f>
        <v>0</v>
      </c>
      <c r="G32" s="31" t="n">
        <f aca="false">F32-C32</f>
        <v>-137.8488</v>
      </c>
      <c r="H32" s="19" t="n">
        <f aca="false">IF(C32&gt;0,F32/C32,0)</f>
        <v>0</v>
      </c>
      <c r="I32" s="55"/>
      <c r="J32" s="55"/>
    </row>
    <row r="33" customFormat="false" ht="18" hidden="false" customHeight="true" outlineLevel="0" collapsed="false">
      <c r="A33" s="18" t="n">
        <v>8</v>
      </c>
      <c r="B33" s="61" t="s">
        <v>170</v>
      </c>
      <c r="C33" s="31" t="n">
        <f aca="false">C20</f>
        <v>137.8488</v>
      </c>
      <c r="D33" s="55"/>
      <c r="E33" s="55"/>
      <c r="F33" s="51" t="n">
        <f aca="false">D33+E33</f>
        <v>0</v>
      </c>
      <c r="G33" s="31" t="n">
        <f aca="false">F33-C33</f>
        <v>-137.8488</v>
      </c>
      <c r="H33" s="19" t="n">
        <f aca="false">IF(C33&gt;0,F33/C33,0)</f>
        <v>0</v>
      </c>
      <c r="I33" s="55"/>
      <c r="J33" s="55"/>
    </row>
    <row r="34" customFormat="false" ht="18" hidden="false" customHeight="true" outlineLevel="0" collapsed="false">
      <c r="A34" s="18" t="n">
        <v>9</v>
      </c>
      <c r="B34" s="61" t="s">
        <v>170</v>
      </c>
      <c r="C34" s="31" t="n">
        <f aca="false">C20</f>
        <v>137.8488</v>
      </c>
      <c r="D34" s="55"/>
      <c r="E34" s="55"/>
      <c r="F34" s="51" t="n">
        <f aca="false">D34+E34</f>
        <v>0</v>
      </c>
      <c r="G34" s="31" t="n">
        <f aca="false">F34-C34</f>
        <v>-137.8488</v>
      </c>
      <c r="H34" s="19" t="n">
        <f aca="false">IF(C34&gt;0,F34/C34,0)</f>
        <v>0</v>
      </c>
      <c r="I34" s="55"/>
      <c r="J34" s="55"/>
    </row>
    <row r="35" customFormat="false" ht="18" hidden="false" customHeight="true" outlineLevel="0" collapsed="false">
      <c r="A35" s="18" t="n">
        <v>10</v>
      </c>
      <c r="B35" s="61" t="s">
        <v>170</v>
      </c>
      <c r="C35" s="31" t="n">
        <f aca="false">C20</f>
        <v>137.8488</v>
      </c>
      <c r="D35" s="55"/>
      <c r="E35" s="55"/>
      <c r="F35" s="51" t="n">
        <f aca="false">D35+E35</f>
        <v>0</v>
      </c>
      <c r="G35" s="31" t="n">
        <f aca="false">F35-C35</f>
        <v>-137.8488</v>
      </c>
      <c r="H35" s="19" t="n">
        <f aca="false">IF(C35&gt;0,F35/C35,0)</f>
        <v>0</v>
      </c>
      <c r="I35" s="55"/>
      <c r="J35" s="55"/>
    </row>
    <row r="36" customFormat="false" ht="18" hidden="false" customHeight="true" outlineLevel="0" collapsed="false">
      <c r="A36" s="18" t="n">
        <v>11</v>
      </c>
      <c r="B36" s="61" t="s">
        <v>170</v>
      </c>
      <c r="C36" s="31" t="n">
        <f aca="false">C20</f>
        <v>137.8488</v>
      </c>
      <c r="D36" s="55"/>
      <c r="E36" s="55"/>
      <c r="F36" s="51" t="n">
        <f aca="false">D36+E36</f>
        <v>0</v>
      </c>
      <c r="G36" s="31" t="n">
        <f aca="false">F36-C36</f>
        <v>-137.8488</v>
      </c>
      <c r="H36" s="19" t="n">
        <f aca="false">IF(C36&gt;0,F36/C36,0)</f>
        <v>0</v>
      </c>
      <c r="I36" s="55"/>
      <c r="J36" s="55"/>
    </row>
    <row r="37" customFormat="false" ht="18" hidden="false" customHeight="true" outlineLevel="0" collapsed="false">
      <c r="A37" s="18" t="n">
        <v>12</v>
      </c>
      <c r="B37" s="61" t="s">
        <v>170</v>
      </c>
      <c r="C37" s="31" t="n">
        <f aca="false">C20</f>
        <v>137.8488</v>
      </c>
      <c r="D37" s="55"/>
      <c r="E37" s="55"/>
      <c r="F37" s="51" t="n">
        <f aca="false">D37+E37</f>
        <v>0</v>
      </c>
      <c r="G37" s="31" t="n">
        <f aca="false">F37-C37</f>
        <v>-137.8488</v>
      </c>
      <c r="H37" s="19" t="n">
        <f aca="false">IF(C37&gt;0,F37/C37,0)</f>
        <v>0</v>
      </c>
      <c r="I37" s="55"/>
      <c r="J37" s="55"/>
    </row>
    <row r="38" customFormat="false" ht="18" hidden="false" customHeight="true" outlineLevel="0" collapsed="false">
      <c r="A38" s="18" t="n">
        <v>13</v>
      </c>
      <c r="B38" s="61" t="s">
        <v>170</v>
      </c>
      <c r="C38" s="31" t="n">
        <f aca="false">C20</f>
        <v>137.8488</v>
      </c>
      <c r="D38" s="55"/>
      <c r="E38" s="55"/>
      <c r="F38" s="51" t="n">
        <f aca="false">D38+E38</f>
        <v>0</v>
      </c>
      <c r="G38" s="31" t="n">
        <f aca="false">F38-C38</f>
        <v>-137.8488</v>
      </c>
      <c r="H38" s="19" t="n">
        <f aca="false">IF(C38&gt;0,F38/C38,0)</f>
        <v>0</v>
      </c>
      <c r="I38" s="55"/>
      <c r="J38" s="55"/>
    </row>
    <row r="39" customFormat="false" ht="18" hidden="false" customHeight="true" outlineLevel="0" collapsed="false">
      <c r="A39" s="20" t="s">
        <v>364</v>
      </c>
      <c r="B39" s="22"/>
      <c r="C39" s="21" t="n">
        <f aca="false">SUM(C26:C38)</f>
        <v>1792.0344</v>
      </c>
      <c r="D39" s="21" t="n">
        <f aca="false">SUM(D26:D38)</f>
        <v>0</v>
      </c>
      <c r="E39" s="21" t="n">
        <f aca="false">SUM(E26:E38)</f>
        <v>0</v>
      </c>
      <c r="F39" s="21" t="n">
        <f aca="false">SUM(F26:F38)</f>
        <v>0</v>
      </c>
      <c r="G39" s="21" t="n">
        <f aca="false">F39-C39</f>
        <v>-1792.0344</v>
      </c>
      <c r="H39" s="23" t="n">
        <f aca="false">IF(C39&gt;0,F39/C39,0)</f>
        <v>0</v>
      </c>
      <c r="I39" s="21" t="n">
        <f aca="false">SUM(I26:I38)</f>
        <v>0</v>
      </c>
      <c r="J39" s="21" t="n">
        <f aca="false">SUM(J26:J38)</f>
        <v>0</v>
      </c>
    </row>
    <row r="40" customFormat="false" ht="18" hidden="false" customHeight="true" outlineLevel="0" collapsed="false">
      <c r="A40" s="5" t="s">
        <v>365</v>
      </c>
      <c r="B40" s="5" t="str">
        <f aca="false">IF(H39&gt;=1,"GREEN",IF(H39&gt;=0.8,"AMBER","RED"))</f>
        <v>RED</v>
      </c>
    </row>
    <row r="42" customFormat="false" ht="24" hidden="false" customHeight="true" outlineLevel="0" collapsed="false">
      <c r="A42" s="3" t="s">
        <v>366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30" hidden="false" customHeight="true" outlineLevel="0" collapsed="false">
      <c r="A43" s="4" t="s">
        <v>174</v>
      </c>
      <c r="B43" s="4" t="s">
        <v>72</v>
      </c>
      <c r="C43" s="4" t="s">
        <v>281</v>
      </c>
      <c r="D43" s="4" t="s">
        <v>197</v>
      </c>
      <c r="E43" s="4" t="s">
        <v>367</v>
      </c>
      <c r="F43" s="4" t="s">
        <v>368</v>
      </c>
      <c r="G43" s="4" t="s">
        <v>282</v>
      </c>
      <c r="H43" s="4" t="s">
        <v>199</v>
      </c>
      <c r="I43" s="4" t="s">
        <v>283</v>
      </c>
      <c r="J43" s="4" t="s">
        <v>369</v>
      </c>
    </row>
    <row r="44" customFormat="false" ht="18" hidden="false" customHeight="true" outlineLevel="0" collapsed="false">
      <c r="A44" s="63"/>
      <c r="B44" s="63"/>
      <c r="C44" s="63"/>
      <c r="D44" s="55"/>
      <c r="E44" s="55"/>
      <c r="F44" s="18" t="str">
        <f aca="false">IF(D44="","",D44*E44)</f>
        <v/>
      </c>
      <c r="G44" s="56"/>
      <c r="H44" s="29" t="str">
        <f aca="false">IF(D44="","",D44*G44)</f>
        <v/>
      </c>
      <c r="I44" s="29" t="str">
        <f aca="false">IF(H44="","",H44*Assumptions!B17)</f>
        <v/>
      </c>
      <c r="J44" s="26" t="str">
        <f aca="false">IF(H44="","",H44+I44)</f>
        <v/>
      </c>
    </row>
    <row r="45" customFormat="false" ht="18" hidden="false" customHeight="true" outlineLevel="0" collapsed="false">
      <c r="A45" s="63"/>
      <c r="B45" s="63"/>
      <c r="C45" s="63"/>
      <c r="D45" s="55"/>
      <c r="E45" s="55"/>
      <c r="F45" s="18" t="str">
        <f aca="false">IF(D45="","",D45*E45)</f>
        <v/>
      </c>
      <c r="G45" s="56"/>
      <c r="H45" s="29" t="str">
        <f aca="false">IF(D45="","",D45*G45)</f>
        <v/>
      </c>
      <c r="I45" s="29" t="str">
        <f aca="false">IF(H45="","",H45*Assumptions!B17)</f>
        <v/>
      </c>
      <c r="J45" s="26" t="str">
        <f aca="false">IF(H45="","",H45+I45)</f>
        <v/>
      </c>
    </row>
    <row r="46" customFormat="false" ht="18" hidden="false" customHeight="true" outlineLevel="0" collapsed="false">
      <c r="A46" s="63"/>
      <c r="B46" s="63"/>
      <c r="C46" s="63"/>
      <c r="D46" s="55"/>
      <c r="E46" s="55"/>
      <c r="F46" s="18" t="str">
        <f aca="false">IF(D46="","",D46*E46)</f>
        <v/>
      </c>
      <c r="G46" s="56"/>
      <c r="H46" s="29" t="str">
        <f aca="false">IF(D46="","",D46*G46)</f>
        <v/>
      </c>
      <c r="I46" s="29" t="str">
        <f aca="false">IF(H46="","",H46*Assumptions!B17)</f>
        <v/>
      </c>
      <c r="J46" s="26" t="str">
        <f aca="false">IF(H46="","",H46+I46)</f>
        <v/>
      </c>
    </row>
    <row r="47" customFormat="false" ht="18" hidden="false" customHeight="true" outlineLevel="0" collapsed="false">
      <c r="A47" s="63"/>
      <c r="B47" s="63"/>
      <c r="C47" s="63"/>
      <c r="D47" s="55"/>
      <c r="E47" s="55"/>
      <c r="F47" s="18" t="str">
        <f aca="false">IF(D47="","",D47*E47)</f>
        <v/>
      </c>
      <c r="G47" s="56"/>
      <c r="H47" s="29" t="str">
        <f aca="false">IF(D47="","",D47*G47)</f>
        <v/>
      </c>
      <c r="I47" s="29" t="str">
        <f aca="false">IF(H47="","",H47*Assumptions!B17)</f>
        <v/>
      </c>
      <c r="J47" s="26" t="str">
        <f aca="false">IF(H47="","",H47+I47)</f>
        <v/>
      </c>
    </row>
    <row r="48" customFormat="false" ht="18" hidden="false" customHeight="true" outlineLevel="0" collapsed="false">
      <c r="A48" s="63"/>
      <c r="B48" s="63"/>
      <c r="C48" s="63"/>
      <c r="D48" s="55"/>
      <c r="E48" s="55"/>
      <c r="F48" s="18" t="str">
        <f aca="false">IF(D48="","",D48*E48)</f>
        <v/>
      </c>
      <c r="G48" s="56"/>
      <c r="H48" s="29" t="str">
        <f aca="false">IF(D48="","",D48*G48)</f>
        <v/>
      </c>
      <c r="I48" s="29" t="str">
        <f aca="false">IF(H48="","",H48*Assumptions!B17)</f>
        <v/>
      </c>
      <c r="J48" s="26" t="str">
        <f aca="false">IF(H48="","",H48+I48)</f>
        <v/>
      </c>
    </row>
    <row r="49" customFormat="false" ht="18" hidden="false" customHeight="true" outlineLevel="0" collapsed="false">
      <c r="A49" s="63"/>
      <c r="B49" s="63"/>
      <c r="C49" s="63"/>
      <c r="D49" s="55"/>
      <c r="E49" s="55"/>
      <c r="F49" s="18" t="str">
        <f aca="false">IF(D49="","",D49*E49)</f>
        <v/>
      </c>
      <c r="G49" s="56"/>
      <c r="H49" s="29" t="str">
        <f aca="false">IF(D49="","",D49*G49)</f>
        <v/>
      </c>
      <c r="I49" s="29" t="str">
        <f aca="false">IF(H49="","",H49*Assumptions!B17)</f>
        <v/>
      </c>
      <c r="J49" s="26" t="str">
        <f aca="false">IF(H49="","",H49+I49)</f>
        <v/>
      </c>
    </row>
    <row r="50" customFormat="false" ht="18" hidden="false" customHeight="true" outlineLevel="0" collapsed="false">
      <c r="A50" s="63"/>
      <c r="B50" s="63"/>
      <c r="C50" s="63"/>
      <c r="D50" s="55"/>
      <c r="E50" s="55"/>
      <c r="F50" s="18" t="str">
        <f aca="false">IF(D50="","",D50*E50)</f>
        <v/>
      </c>
      <c r="G50" s="56"/>
      <c r="H50" s="29" t="str">
        <f aca="false">IF(D50="","",D50*G50)</f>
        <v/>
      </c>
      <c r="I50" s="29" t="str">
        <f aca="false">IF(H50="","",H50*Assumptions!B17)</f>
        <v/>
      </c>
      <c r="J50" s="26" t="str">
        <f aca="false">IF(H50="","",H50+I50)</f>
        <v/>
      </c>
    </row>
    <row r="51" customFormat="false" ht="18" hidden="false" customHeight="true" outlineLevel="0" collapsed="false">
      <c r="A51" s="63"/>
      <c r="B51" s="63"/>
      <c r="C51" s="63"/>
      <c r="D51" s="55"/>
      <c r="E51" s="55"/>
      <c r="F51" s="18" t="str">
        <f aca="false">IF(D51="","",D51*E51)</f>
        <v/>
      </c>
      <c r="G51" s="56"/>
      <c r="H51" s="29" t="str">
        <f aca="false">IF(D51="","",D51*G51)</f>
        <v/>
      </c>
      <c r="I51" s="29" t="str">
        <f aca="false">IF(H51="","",H51*Assumptions!B17)</f>
        <v/>
      </c>
      <c r="J51" s="26" t="str">
        <f aca="false">IF(H51="","",H51+I51)</f>
        <v/>
      </c>
    </row>
    <row r="52" customFormat="false" ht="18" hidden="false" customHeight="true" outlineLevel="0" collapsed="false">
      <c r="A52" s="63"/>
      <c r="B52" s="63"/>
      <c r="C52" s="63"/>
      <c r="D52" s="55"/>
      <c r="E52" s="55"/>
      <c r="F52" s="18" t="str">
        <f aca="false">IF(D52="","",D52*E52)</f>
        <v/>
      </c>
      <c r="G52" s="56"/>
      <c r="H52" s="29" t="str">
        <f aca="false">IF(D52="","",D52*G52)</f>
        <v/>
      </c>
      <c r="I52" s="29" t="str">
        <f aca="false">IF(H52="","",H52*Assumptions!B17)</f>
        <v/>
      </c>
      <c r="J52" s="26" t="str">
        <f aca="false">IF(H52="","",H52+I52)</f>
        <v/>
      </c>
    </row>
    <row r="53" customFormat="false" ht="18" hidden="false" customHeight="true" outlineLevel="0" collapsed="false">
      <c r="A53" s="63"/>
      <c r="B53" s="63"/>
      <c r="C53" s="63"/>
      <c r="D53" s="55"/>
      <c r="E53" s="55"/>
      <c r="F53" s="18" t="str">
        <f aca="false">IF(D53="","",D53*E53)</f>
        <v/>
      </c>
      <c r="G53" s="56"/>
      <c r="H53" s="29" t="str">
        <f aca="false">IF(D53="","",D53*G53)</f>
        <v/>
      </c>
      <c r="I53" s="29" t="str">
        <f aca="false">IF(H53="","",H53*Assumptions!B17)</f>
        <v/>
      </c>
      <c r="J53" s="26" t="str">
        <f aca="false">IF(H53="","",H53+I53)</f>
        <v/>
      </c>
    </row>
    <row r="54" customFormat="false" ht="18" hidden="false" customHeight="true" outlineLevel="0" collapsed="false">
      <c r="A54" s="20" t="s">
        <v>370</v>
      </c>
      <c r="B54" s="22"/>
      <c r="C54" s="22"/>
      <c r="D54" s="21" t="n">
        <f aca="false">SUM(D44:D53)</f>
        <v>0</v>
      </c>
      <c r="E54" s="22"/>
      <c r="F54" s="21" t="n">
        <f aca="false">SUM(F44:F53)</f>
        <v>0</v>
      </c>
      <c r="G54" s="22"/>
      <c r="H54" s="32" t="n">
        <f aca="false">SUM(H44:H53)</f>
        <v>0</v>
      </c>
      <c r="I54" s="32" t="n">
        <f aca="false">SUM(I44:I53)</f>
        <v>0</v>
      </c>
      <c r="J54" s="32" t="n">
        <f aca="false">SUM(J44:J53)</f>
        <v>0</v>
      </c>
    </row>
    <row r="56" customFormat="false" ht="24" hidden="false" customHeight="true" outlineLevel="0" collapsed="false">
      <c r="A56" s="3" t="s">
        <v>371</v>
      </c>
      <c r="B56" s="3"/>
      <c r="C56" s="3"/>
      <c r="D56" s="3"/>
      <c r="E56" s="3"/>
      <c r="F56" s="3"/>
      <c r="G56" s="3"/>
      <c r="H56" s="3"/>
      <c r="I56" s="3"/>
      <c r="J56" s="3"/>
    </row>
    <row r="57" customFormat="false" ht="30" hidden="false" customHeight="true" outlineLevel="0" collapsed="false">
      <c r="A57" s="4" t="s">
        <v>174</v>
      </c>
      <c r="B57" s="4" t="s">
        <v>72</v>
      </c>
      <c r="C57" s="4" t="s">
        <v>197</v>
      </c>
      <c r="D57" s="4" t="s">
        <v>372</v>
      </c>
      <c r="E57" s="4" t="s">
        <v>373</v>
      </c>
      <c r="F57" s="4" t="s">
        <v>283</v>
      </c>
      <c r="G57" s="4" t="s">
        <v>374</v>
      </c>
      <c r="H57" s="4" t="s">
        <v>202</v>
      </c>
      <c r="I57" s="4" t="s">
        <v>375</v>
      </c>
      <c r="J57" s="4" t="s">
        <v>205</v>
      </c>
    </row>
    <row r="58" customFormat="false" ht="18" hidden="false" customHeight="true" outlineLevel="0" collapsed="false">
      <c r="A58" s="63"/>
      <c r="B58" s="63"/>
      <c r="C58" s="55"/>
      <c r="D58" s="56"/>
      <c r="E58" s="29" t="str">
        <f aca="false">IF(C58="","",C58*D58)</f>
        <v/>
      </c>
      <c r="F58" s="29" t="str">
        <f aca="false">IF(E58="","",E58*Assumptions!B17)</f>
        <v/>
      </c>
      <c r="G58" s="26" t="str">
        <f aca="false">IF(E58="","",E58+F58)</f>
        <v/>
      </c>
      <c r="H58" s="57"/>
      <c r="I58" s="26" t="str">
        <f aca="false">IF(G58="","",G58*H58)</f>
        <v/>
      </c>
      <c r="J58" s="63"/>
    </row>
    <row r="59" customFormat="false" ht="18" hidden="false" customHeight="true" outlineLevel="0" collapsed="false">
      <c r="A59" s="63"/>
      <c r="B59" s="63"/>
      <c r="C59" s="55"/>
      <c r="D59" s="56"/>
      <c r="E59" s="29" t="str">
        <f aca="false">IF(C59="","",C59*D59)</f>
        <v/>
      </c>
      <c r="F59" s="29" t="str">
        <f aca="false">IF(E59="","",E59*Assumptions!B17)</f>
        <v/>
      </c>
      <c r="G59" s="26" t="str">
        <f aca="false">IF(E59="","",E59+F59)</f>
        <v/>
      </c>
      <c r="H59" s="57"/>
      <c r="I59" s="26" t="str">
        <f aca="false">IF(G59="","",G59*H59)</f>
        <v/>
      </c>
      <c r="J59" s="63"/>
    </row>
    <row r="60" customFormat="false" ht="18" hidden="false" customHeight="true" outlineLevel="0" collapsed="false">
      <c r="A60" s="63"/>
      <c r="B60" s="63"/>
      <c r="C60" s="55"/>
      <c r="D60" s="56"/>
      <c r="E60" s="29" t="str">
        <f aca="false">IF(C60="","",C60*D60)</f>
        <v/>
      </c>
      <c r="F60" s="29" t="str">
        <f aca="false">IF(E60="","",E60*Assumptions!B17)</f>
        <v/>
      </c>
      <c r="G60" s="26" t="str">
        <f aca="false">IF(E60="","",E60+F60)</f>
        <v/>
      </c>
      <c r="H60" s="57"/>
      <c r="I60" s="26" t="str">
        <f aca="false">IF(G60="","",G60*H60)</f>
        <v/>
      </c>
      <c r="J60" s="63"/>
    </row>
    <row r="61" customFormat="false" ht="18" hidden="false" customHeight="true" outlineLevel="0" collapsed="false">
      <c r="A61" s="63"/>
      <c r="B61" s="63"/>
      <c r="C61" s="55"/>
      <c r="D61" s="56"/>
      <c r="E61" s="29" t="str">
        <f aca="false">IF(C61="","",C61*D61)</f>
        <v/>
      </c>
      <c r="F61" s="29" t="str">
        <f aca="false">IF(E61="","",E61*Assumptions!B17)</f>
        <v/>
      </c>
      <c r="G61" s="26" t="str">
        <f aca="false">IF(E61="","",E61+F61)</f>
        <v/>
      </c>
      <c r="H61" s="57"/>
      <c r="I61" s="26" t="str">
        <f aca="false">IF(G61="","",G61*H61)</f>
        <v/>
      </c>
      <c r="J61" s="63"/>
    </row>
    <row r="62" customFormat="false" ht="18" hidden="false" customHeight="true" outlineLevel="0" collapsed="false">
      <c r="A62" s="63"/>
      <c r="B62" s="63"/>
      <c r="C62" s="55"/>
      <c r="D62" s="56"/>
      <c r="E62" s="29" t="str">
        <f aca="false">IF(C62="","",C62*D62)</f>
        <v/>
      </c>
      <c r="F62" s="29" t="str">
        <f aca="false">IF(E62="","",E62*Assumptions!B17)</f>
        <v/>
      </c>
      <c r="G62" s="26" t="str">
        <f aca="false">IF(E62="","",E62+F62)</f>
        <v/>
      </c>
      <c r="H62" s="57"/>
      <c r="I62" s="26" t="str">
        <f aca="false">IF(G62="","",G62*H62)</f>
        <v/>
      </c>
      <c r="J62" s="63"/>
    </row>
    <row r="63" customFormat="false" ht="18" hidden="false" customHeight="true" outlineLevel="0" collapsed="false">
      <c r="A63" s="20" t="s">
        <v>376</v>
      </c>
      <c r="B63" s="22"/>
      <c r="C63" s="21" t="n">
        <f aca="false">SUM(C58:C62)</f>
        <v>0</v>
      </c>
      <c r="D63" s="22"/>
      <c r="E63" s="32" t="n">
        <f aca="false">SUM(E58:E62)</f>
        <v>0</v>
      </c>
      <c r="F63" s="32" t="n">
        <f aca="false">SUM(F58:F62)</f>
        <v>0</v>
      </c>
      <c r="G63" s="32" t="n">
        <f aca="false">SUM(G58:G62)</f>
        <v>0</v>
      </c>
      <c r="H63" s="22"/>
      <c r="I63" s="32" t="n">
        <f aca="false">SUM(I58:I62)</f>
        <v>0</v>
      </c>
      <c r="J63" s="22"/>
    </row>
    <row r="65" customFormat="false" ht="24" hidden="false" customHeight="true" outlineLevel="0" collapsed="false">
      <c r="A65" s="3" t="s">
        <v>377</v>
      </c>
      <c r="B65" s="3"/>
      <c r="C65" s="3"/>
      <c r="D65" s="3"/>
      <c r="E65" s="3"/>
      <c r="F65" s="3"/>
      <c r="G65" s="3"/>
      <c r="H65" s="3"/>
      <c r="I65" s="3"/>
      <c r="J65" s="3"/>
    </row>
    <row r="66" customFormat="false" ht="30" hidden="false" customHeight="true" outlineLevel="0" collapsed="false">
      <c r="A66" s="4" t="s">
        <v>245</v>
      </c>
      <c r="B66" s="4" t="s">
        <v>378</v>
      </c>
      <c r="C66" s="4" t="s">
        <v>379</v>
      </c>
      <c r="D66" s="4" t="s">
        <v>248</v>
      </c>
      <c r="E66" s="4" t="s">
        <v>249</v>
      </c>
      <c r="F66" s="4" t="s">
        <v>240</v>
      </c>
      <c r="G66" s="4" t="s">
        <v>380</v>
      </c>
      <c r="H66" s="4" t="s">
        <v>381</v>
      </c>
      <c r="I66" s="4" t="s">
        <v>382</v>
      </c>
      <c r="J66" s="4" t="s">
        <v>277</v>
      </c>
    </row>
    <row r="67" customFormat="false" ht="18" hidden="false" customHeight="true" outlineLevel="0" collapsed="false">
      <c r="A67" s="7" t="s">
        <v>253</v>
      </c>
      <c r="B67" s="29" t="n">
        <f aca="false">'Practice Allocations'!E9</f>
        <v>19898.8975</v>
      </c>
      <c r="C67" s="29" t="n">
        <f aca="false">B67*1</f>
        <v>19898.8975</v>
      </c>
      <c r="D67" s="56"/>
      <c r="E67" s="56"/>
      <c r="F67" s="29" t="n">
        <f aca="false">D67+E67</f>
        <v>0</v>
      </c>
      <c r="G67" s="29" t="n">
        <f aca="false">F67</f>
        <v>0</v>
      </c>
      <c r="H67" s="26" t="n">
        <f aca="false">C67-G67</f>
        <v>19898.8975</v>
      </c>
      <c r="I67" s="19" t="n">
        <f aca="false">IF(C67&gt;0,G67/C67,0)</f>
        <v>0</v>
      </c>
      <c r="J67" s="5" t="str">
        <f aca="false">IF(H67&lt;0,"OVERSPEND",IF(I67&gt;0.9,"HIGH","OK"))</f>
        <v>OK</v>
      </c>
    </row>
    <row r="68" customFormat="false" ht="18" hidden="false" customHeight="true" outlineLevel="0" collapsed="false">
      <c r="A68" s="7" t="s">
        <v>254</v>
      </c>
      <c r="B68" s="29" t="n">
        <f aca="false">'Practice Allocations'!E9</f>
        <v>19898.8975</v>
      </c>
      <c r="C68" s="29" t="n">
        <f aca="false">B68*2</f>
        <v>39797.795</v>
      </c>
      <c r="D68" s="56"/>
      <c r="E68" s="56"/>
      <c r="F68" s="29" t="n">
        <f aca="false">D68+E68</f>
        <v>0</v>
      </c>
      <c r="G68" s="29" t="n">
        <f aca="false">G67+F68</f>
        <v>0</v>
      </c>
      <c r="H68" s="26" t="n">
        <f aca="false">C68-G68</f>
        <v>39797.795</v>
      </c>
      <c r="I68" s="19" t="n">
        <f aca="false">IF(C68&gt;0,G68/C68,0)</f>
        <v>0</v>
      </c>
      <c r="J68" s="5" t="str">
        <f aca="false">IF(H68&lt;0,"OVERSPEND",IF(I68&gt;0.9,"HIGH","OK"))</f>
        <v>OK</v>
      </c>
    </row>
    <row r="69" customFormat="false" ht="18" hidden="false" customHeight="true" outlineLevel="0" collapsed="false">
      <c r="A69" s="7" t="s">
        <v>255</v>
      </c>
      <c r="B69" s="29" t="n">
        <f aca="false">'Practice Allocations'!E9</f>
        <v>19898.8975</v>
      </c>
      <c r="C69" s="29" t="n">
        <f aca="false">B69*3</f>
        <v>59696.6925</v>
      </c>
      <c r="D69" s="56"/>
      <c r="E69" s="56"/>
      <c r="F69" s="29" t="n">
        <f aca="false">D69+E69</f>
        <v>0</v>
      </c>
      <c r="G69" s="29" t="n">
        <f aca="false">G68+F69</f>
        <v>0</v>
      </c>
      <c r="H69" s="26" t="n">
        <f aca="false">C69-G69</f>
        <v>59696.6925</v>
      </c>
      <c r="I69" s="19" t="n">
        <f aca="false">IF(C69&gt;0,G69/C69,0)</f>
        <v>0</v>
      </c>
      <c r="J69" s="5" t="str">
        <f aca="false">IF(H69&lt;0,"OVERSPEND",IF(I69&gt;0.9,"HIGH","OK"))</f>
        <v>OK</v>
      </c>
    </row>
    <row r="70" customFormat="false" ht="18" hidden="false" customHeight="true" outlineLevel="0" collapsed="false">
      <c r="A70" s="7" t="s">
        <v>256</v>
      </c>
      <c r="B70" s="29" t="n">
        <f aca="false">'Practice Allocations'!E9</f>
        <v>19898.8975</v>
      </c>
      <c r="C70" s="29" t="n">
        <f aca="false">B70*4</f>
        <v>79595.59</v>
      </c>
      <c r="D70" s="56"/>
      <c r="E70" s="56"/>
      <c r="F70" s="29" t="n">
        <f aca="false">D70+E70</f>
        <v>0</v>
      </c>
      <c r="G70" s="29" t="n">
        <f aca="false">G69+F70</f>
        <v>0</v>
      </c>
      <c r="H70" s="26" t="n">
        <f aca="false">C70-G70</f>
        <v>79595.59</v>
      </c>
      <c r="I70" s="19" t="n">
        <f aca="false">IF(C70&gt;0,G70/C70,0)</f>
        <v>0</v>
      </c>
      <c r="J70" s="5" t="str">
        <f aca="false">IF(H70&lt;0,"OVERSPEND",IF(I70&gt;0.9,"HIGH","OK"))</f>
        <v>OK</v>
      </c>
    </row>
    <row r="71" customFormat="false" ht="18" hidden="false" customHeight="true" outlineLevel="0" collapsed="false">
      <c r="A71" s="7" t="s">
        <v>257</v>
      </c>
      <c r="B71" s="29" t="n">
        <f aca="false">'Practice Allocations'!E9</f>
        <v>19898.8975</v>
      </c>
      <c r="C71" s="29" t="n">
        <f aca="false">B71*5</f>
        <v>99494.4875</v>
      </c>
      <c r="D71" s="56"/>
      <c r="E71" s="56"/>
      <c r="F71" s="29" t="n">
        <f aca="false">D71+E71</f>
        <v>0</v>
      </c>
      <c r="G71" s="29" t="n">
        <f aca="false">G70+F71</f>
        <v>0</v>
      </c>
      <c r="H71" s="26" t="n">
        <f aca="false">C71-G71</f>
        <v>99494.4875</v>
      </c>
      <c r="I71" s="19" t="n">
        <f aca="false">IF(C71&gt;0,G71/C71,0)</f>
        <v>0</v>
      </c>
      <c r="J71" s="5" t="str">
        <f aca="false">IF(H71&lt;0,"OVERSPEND",IF(I71&gt;0.9,"HIGH","OK"))</f>
        <v>OK</v>
      </c>
    </row>
    <row r="72" customFormat="false" ht="18" hidden="false" customHeight="true" outlineLevel="0" collapsed="false">
      <c r="A72" s="7" t="s">
        <v>258</v>
      </c>
      <c r="B72" s="29" t="n">
        <f aca="false">'Practice Allocations'!E9</f>
        <v>19898.8975</v>
      </c>
      <c r="C72" s="29" t="n">
        <f aca="false">B72*6</f>
        <v>119393.385</v>
      </c>
      <c r="D72" s="56"/>
      <c r="E72" s="56"/>
      <c r="F72" s="29" t="n">
        <f aca="false">D72+E72</f>
        <v>0</v>
      </c>
      <c r="G72" s="29" t="n">
        <f aca="false">G71+F72</f>
        <v>0</v>
      </c>
      <c r="H72" s="26" t="n">
        <f aca="false">C72-G72</f>
        <v>119393.385</v>
      </c>
      <c r="I72" s="19" t="n">
        <f aca="false">IF(C72&gt;0,G72/C72,0)</f>
        <v>0</v>
      </c>
      <c r="J72" s="5" t="str">
        <f aca="false">IF(H72&lt;0,"OVERSPEND",IF(I72&gt;0.9,"HIGH","OK"))</f>
        <v>OK</v>
      </c>
    </row>
    <row r="73" customFormat="false" ht="18" hidden="false" customHeight="true" outlineLevel="0" collapsed="false">
      <c r="A73" s="7" t="s">
        <v>259</v>
      </c>
      <c r="B73" s="29" t="n">
        <f aca="false">'Practice Allocations'!E9</f>
        <v>19898.8975</v>
      </c>
      <c r="C73" s="29" t="n">
        <f aca="false">B73*7</f>
        <v>139292.2825</v>
      </c>
      <c r="D73" s="56"/>
      <c r="E73" s="56"/>
      <c r="F73" s="29" t="n">
        <f aca="false">D73+E73</f>
        <v>0</v>
      </c>
      <c r="G73" s="29" t="n">
        <f aca="false">G72+F73</f>
        <v>0</v>
      </c>
      <c r="H73" s="26" t="n">
        <f aca="false">C73-G73</f>
        <v>139292.2825</v>
      </c>
      <c r="I73" s="19" t="n">
        <f aca="false">IF(C73&gt;0,G73/C73,0)</f>
        <v>0</v>
      </c>
      <c r="J73" s="5" t="str">
        <f aca="false">IF(H73&lt;0,"OVERSPEND",IF(I73&gt;0.9,"HIGH","OK"))</f>
        <v>OK</v>
      </c>
    </row>
    <row r="74" customFormat="false" ht="18" hidden="false" customHeight="true" outlineLevel="0" collapsed="false">
      <c r="A74" s="7" t="s">
        <v>260</v>
      </c>
      <c r="B74" s="29" t="n">
        <f aca="false">'Practice Allocations'!E9</f>
        <v>19898.8975</v>
      </c>
      <c r="C74" s="29" t="n">
        <f aca="false">B74*8</f>
        <v>159191.18</v>
      </c>
      <c r="D74" s="56"/>
      <c r="E74" s="56"/>
      <c r="F74" s="29" t="n">
        <f aca="false">D74+E74</f>
        <v>0</v>
      </c>
      <c r="G74" s="29" t="n">
        <f aca="false">G73+F74</f>
        <v>0</v>
      </c>
      <c r="H74" s="26" t="n">
        <f aca="false">C74-G74</f>
        <v>159191.18</v>
      </c>
      <c r="I74" s="19" t="n">
        <f aca="false">IF(C74&gt;0,G74/C74,0)</f>
        <v>0</v>
      </c>
      <c r="J74" s="5" t="str">
        <f aca="false">IF(H74&lt;0,"OVERSPEND",IF(I74&gt;0.9,"HIGH","OK"))</f>
        <v>OK</v>
      </c>
    </row>
    <row r="75" customFormat="false" ht="18" hidden="false" customHeight="true" outlineLevel="0" collapsed="false">
      <c r="A75" s="7" t="s">
        <v>261</v>
      </c>
      <c r="B75" s="29" t="n">
        <f aca="false">'Practice Allocations'!E9</f>
        <v>19898.8975</v>
      </c>
      <c r="C75" s="29" t="n">
        <f aca="false">B75*9</f>
        <v>179090.0775</v>
      </c>
      <c r="D75" s="56"/>
      <c r="E75" s="56"/>
      <c r="F75" s="29" t="n">
        <f aca="false">D75+E75</f>
        <v>0</v>
      </c>
      <c r="G75" s="29" t="n">
        <f aca="false">G74+F75</f>
        <v>0</v>
      </c>
      <c r="H75" s="26" t="n">
        <f aca="false">C75-G75</f>
        <v>179090.0775</v>
      </c>
      <c r="I75" s="19" t="n">
        <f aca="false">IF(C75&gt;0,G75/C75,0)</f>
        <v>0</v>
      </c>
      <c r="J75" s="5" t="str">
        <f aca="false">IF(H75&lt;0,"OVERSPEND",IF(I75&gt;0.9,"HIGH","OK"))</f>
        <v>OK</v>
      </c>
    </row>
    <row r="76" customFormat="false" ht="18" hidden="false" customHeight="true" outlineLevel="0" collapsed="false">
      <c r="A76" s="7" t="s">
        <v>262</v>
      </c>
      <c r="B76" s="29" t="n">
        <f aca="false">'Practice Allocations'!E9</f>
        <v>19898.8975</v>
      </c>
      <c r="C76" s="29" t="n">
        <f aca="false">B76*10</f>
        <v>198988.975</v>
      </c>
      <c r="D76" s="56"/>
      <c r="E76" s="56"/>
      <c r="F76" s="29" t="n">
        <f aca="false">D76+E76</f>
        <v>0</v>
      </c>
      <c r="G76" s="29" t="n">
        <f aca="false">G75+F76</f>
        <v>0</v>
      </c>
      <c r="H76" s="26" t="n">
        <f aca="false">C76-G76</f>
        <v>198988.975</v>
      </c>
      <c r="I76" s="19" t="n">
        <f aca="false">IF(C76&gt;0,G76/C76,0)</f>
        <v>0</v>
      </c>
      <c r="J76" s="5" t="str">
        <f aca="false">IF(H76&lt;0,"OVERSPEND",IF(I76&gt;0.9,"HIGH","OK"))</f>
        <v>OK</v>
      </c>
    </row>
    <row r="77" customFormat="false" ht="18" hidden="false" customHeight="true" outlineLevel="0" collapsed="false">
      <c r="A77" s="7" t="s">
        <v>263</v>
      </c>
      <c r="B77" s="29" t="n">
        <f aca="false">'Practice Allocations'!E9</f>
        <v>19898.8975</v>
      </c>
      <c r="C77" s="29" t="n">
        <f aca="false">B77*11</f>
        <v>218887.8725</v>
      </c>
      <c r="D77" s="56"/>
      <c r="E77" s="56"/>
      <c r="F77" s="29" t="n">
        <f aca="false">D77+E77</f>
        <v>0</v>
      </c>
      <c r="G77" s="29" t="n">
        <f aca="false">G76+F77</f>
        <v>0</v>
      </c>
      <c r="H77" s="26" t="n">
        <f aca="false">C77-G77</f>
        <v>218887.8725</v>
      </c>
      <c r="I77" s="19" t="n">
        <f aca="false">IF(C77&gt;0,G77/C77,0)</f>
        <v>0</v>
      </c>
      <c r="J77" s="5" t="str">
        <f aca="false">IF(H77&lt;0,"OVERSPEND",IF(I77&gt;0.9,"HIGH","OK"))</f>
        <v>OK</v>
      </c>
    </row>
    <row r="78" customFormat="false" ht="18" hidden="false" customHeight="true" outlineLevel="0" collapsed="false">
      <c r="A78" s="7" t="s">
        <v>264</v>
      </c>
      <c r="B78" s="29" t="n">
        <f aca="false">'Practice Allocations'!E9</f>
        <v>19898.8975</v>
      </c>
      <c r="C78" s="29" t="n">
        <f aca="false">B78*12</f>
        <v>238786.77</v>
      </c>
      <c r="D78" s="56"/>
      <c r="E78" s="56"/>
      <c r="F78" s="29" t="n">
        <f aca="false">D78+E78</f>
        <v>0</v>
      </c>
      <c r="G78" s="29" t="n">
        <f aca="false">G77+F78</f>
        <v>0</v>
      </c>
      <c r="H78" s="26" t="n">
        <f aca="false">C78-G78</f>
        <v>238786.77</v>
      </c>
      <c r="I78" s="19" t="n">
        <f aca="false">IF(C78&gt;0,G78/C78,0)</f>
        <v>0</v>
      </c>
      <c r="J78" s="5" t="str">
        <f aca="false">IF(H78&lt;0,"OVERSPEND",IF(I78&gt;0.9,"HIGH","OK"))</f>
        <v>OK</v>
      </c>
    </row>
    <row r="79" customFormat="false" ht="18" hidden="false" customHeight="true" outlineLevel="0" collapsed="false">
      <c r="A79" s="20" t="s">
        <v>383</v>
      </c>
      <c r="B79" s="32" t="n">
        <f aca="false">SUM(B67:B78)</f>
        <v>238786.77</v>
      </c>
      <c r="C79" s="32" t="n">
        <f aca="false">C78</f>
        <v>238786.77</v>
      </c>
      <c r="D79" s="32" t="n">
        <f aca="false">SUM(D67:D78)</f>
        <v>0</v>
      </c>
      <c r="E79" s="32" t="n">
        <f aca="false">SUM(E67:E78)</f>
        <v>0</v>
      </c>
      <c r="F79" s="32" t="n">
        <f aca="false">SUM(F67:F78)</f>
        <v>0</v>
      </c>
      <c r="G79" s="32" t="n">
        <f aca="false">G78</f>
        <v>0</v>
      </c>
      <c r="H79" s="32" t="n">
        <f aca="false">H78</f>
        <v>238786.77</v>
      </c>
      <c r="I79" s="23" t="n">
        <f aca="false">I78</f>
        <v>0</v>
      </c>
      <c r="J79" s="22"/>
    </row>
    <row r="81" customFormat="false" ht="24" hidden="false" customHeight="true" outlineLevel="0" collapsed="false">
      <c r="A81" s="3" t="s">
        <v>384</v>
      </c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8" hidden="false" customHeight="true" outlineLevel="0" collapsed="false">
      <c r="A82" s="5" t="s">
        <v>385</v>
      </c>
      <c r="B82" s="30" t="n">
        <f aca="false">F22</f>
        <v>7521.8286</v>
      </c>
    </row>
    <row r="83" customFormat="false" ht="18" hidden="false" customHeight="true" outlineLevel="0" collapsed="false">
      <c r="A83" s="5" t="s">
        <v>386</v>
      </c>
      <c r="B83" s="30" t="n">
        <f aca="false">F39</f>
        <v>0</v>
      </c>
    </row>
    <row r="84" customFormat="false" ht="18" hidden="false" customHeight="true" outlineLevel="0" collapsed="false">
      <c r="A84" s="5" t="s">
        <v>387</v>
      </c>
      <c r="B84" s="52" t="n">
        <f aca="false">IF(B82&gt;0,B83/B82,0)</f>
        <v>0</v>
      </c>
    </row>
    <row r="85" customFormat="false" ht="18" hidden="false" customHeight="true" outlineLevel="0" collapsed="false">
      <c r="A85" s="5" t="s">
        <v>388</v>
      </c>
      <c r="B85" s="30" t="n">
        <f aca="false">IF(COUNTA(F26:F38)&gt;0,AVERAGE(F26:F38),0)</f>
        <v>0</v>
      </c>
    </row>
    <row r="86" customFormat="false" ht="18" hidden="false" customHeight="true" outlineLevel="0" collapsed="false">
      <c r="A86" s="5" t="s">
        <v>389</v>
      </c>
      <c r="B86" s="30" t="n">
        <f aca="false">C20</f>
        <v>137.8488</v>
      </c>
    </row>
    <row r="87" customFormat="false" ht="18" hidden="false" customHeight="true" outlineLevel="0" collapsed="false">
      <c r="A87" s="5" t="s">
        <v>390</v>
      </c>
      <c r="B87" s="30" t="n">
        <f aca="false">B85-B86</f>
        <v>-137.8488</v>
      </c>
    </row>
    <row r="88" customFormat="false" ht="18" hidden="false" customHeight="true" outlineLevel="0" collapsed="false">
      <c r="A88" s="5" t="s">
        <v>391</v>
      </c>
      <c r="B88" s="52" t="n">
        <f aca="false">IF(F39&gt;0,E39/F39,0)</f>
        <v>0</v>
      </c>
    </row>
    <row r="89" customFormat="false" ht="18" hidden="false" customHeight="true" outlineLevel="0" collapsed="false">
      <c r="A89" s="5" t="s">
        <v>392</v>
      </c>
      <c r="B89" s="30" t="str">
        <f aca="false">IF(B90&gt;=0.5,"YES — Compliant","NO — Below 50%")</f>
        <v>NO — Below 50%</v>
      </c>
    </row>
    <row r="90" customFormat="false" ht="18" hidden="false" customHeight="true" outlineLevel="0" collapsed="false">
      <c r="A90" s="5" t="s">
        <v>393</v>
      </c>
      <c r="B90" s="26" t="n">
        <f aca="false">J54</f>
        <v>0</v>
      </c>
    </row>
    <row r="91" customFormat="false" ht="18" hidden="false" customHeight="true" outlineLevel="0" collapsed="false">
      <c r="A91" s="5" t="s">
        <v>394</v>
      </c>
      <c r="B91" s="26" t="n">
        <f aca="false">I63</f>
        <v>0</v>
      </c>
    </row>
    <row r="92" customFormat="false" ht="18" hidden="false" customHeight="true" outlineLevel="0" collapsed="false">
      <c r="A92" s="5" t="s">
        <v>395</v>
      </c>
      <c r="B92" s="26" t="n">
        <f aca="false">B90+B91</f>
        <v>0</v>
      </c>
    </row>
    <row r="93" customFormat="false" ht="18" hidden="false" customHeight="true" outlineLevel="0" collapsed="false">
      <c r="A93" s="5" t="s">
        <v>396</v>
      </c>
      <c r="B93" s="26" t="n">
        <f aca="false">'Practice Allocations'!D9-B94</f>
        <v>238786.77</v>
      </c>
    </row>
    <row r="95" customFormat="false" ht="24" hidden="false" customHeight="true" outlineLevel="0" collapsed="false">
      <c r="A95" s="3" t="s">
        <v>397</v>
      </c>
      <c r="B95" s="3"/>
      <c r="C95" s="3"/>
      <c r="D95" s="3"/>
      <c r="E95" s="3"/>
      <c r="F95" s="3"/>
      <c r="G95" s="3"/>
      <c r="H95" s="3"/>
      <c r="I95" s="3"/>
      <c r="J95" s="3"/>
    </row>
    <row r="96" customFormat="false" ht="30" hidden="false" customHeight="true" outlineLevel="0" collapsed="false">
      <c r="A96" s="4" t="s">
        <v>398</v>
      </c>
      <c r="B96" s="4" t="s">
        <v>208</v>
      </c>
      <c r="C96" s="4" t="s">
        <v>399</v>
      </c>
      <c r="D96" s="4" t="s">
        <v>400</v>
      </c>
      <c r="E96" s="4" t="s">
        <v>401</v>
      </c>
      <c r="F96" s="4" t="s">
        <v>205</v>
      </c>
      <c r="G96" s="4" t="s">
        <v>402</v>
      </c>
      <c r="H96" s="4"/>
      <c r="I96" s="4"/>
      <c r="J96" s="4"/>
    </row>
    <row r="97" customFormat="false" ht="18" hidden="false" customHeight="true" outlineLevel="0" collapsed="false">
      <c r="A97" s="63"/>
      <c r="B97" s="63"/>
      <c r="C97" s="63"/>
      <c r="D97" s="56"/>
      <c r="E97" s="63"/>
      <c r="F97" s="63"/>
      <c r="G97" s="63"/>
      <c r="H97" s="7"/>
      <c r="I97" s="7"/>
      <c r="J97" s="7"/>
    </row>
    <row r="98" customFormat="false" ht="18" hidden="false" customHeight="true" outlineLevel="0" collapsed="false">
      <c r="A98" s="63"/>
      <c r="B98" s="63"/>
      <c r="C98" s="63"/>
      <c r="D98" s="56"/>
      <c r="E98" s="63"/>
      <c r="F98" s="63"/>
      <c r="G98" s="63"/>
      <c r="H98" s="49"/>
      <c r="I98" s="49"/>
      <c r="J98" s="49"/>
    </row>
    <row r="99" customFormat="false" ht="18" hidden="false" customHeight="true" outlineLevel="0" collapsed="false">
      <c r="A99" s="63"/>
      <c r="B99" s="63"/>
      <c r="C99" s="63"/>
      <c r="D99" s="56"/>
      <c r="E99" s="63"/>
      <c r="F99" s="63"/>
      <c r="G99" s="63"/>
      <c r="H99" s="7"/>
      <c r="I99" s="7"/>
      <c r="J99" s="7"/>
    </row>
    <row r="100" customFormat="false" ht="18" hidden="false" customHeight="true" outlineLevel="0" collapsed="false">
      <c r="A100" s="63"/>
      <c r="B100" s="63"/>
      <c r="C100" s="63"/>
      <c r="D100" s="56"/>
      <c r="E100" s="63"/>
      <c r="F100" s="63"/>
      <c r="G100" s="63"/>
      <c r="H100" s="49"/>
      <c r="I100" s="49"/>
      <c r="J100" s="49"/>
    </row>
    <row r="101" customFormat="false" ht="18" hidden="false" customHeight="true" outlineLevel="0" collapsed="false">
      <c r="A101" s="63"/>
      <c r="B101" s="63"/>
      <c r="C101" s="63"/>
      <c r="D101" s="56"/>
      <c r="E101" s="63"/>
      <c r="F101" s="63"/>
      <c r="G101" s="63"/>
      <c r="H101" s="7"/>
      <c r="I101" s="7"/>
      <c r="J101" s="7"/>
    </row>
    <row r="103" customFormat="false" ht="24" hidden="false" customHeight="true" outlineLevel="0" collapsed="false">
      <c r="A103" s="3" t="s">
        <v>403</v>
      </c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30" hidden="false" customHeight="true" outlineLevel="0" collapsed="false">
      <c r="A104" s="4" t="s">
        <v>336</v>
      </c>
      <c r="B104" s="4" t="s">
        <v>404</v>
      </c>
      <c r="C104" s="4" t="s">
        <v>405</v>
      </c>
      <c r="D104" s="4" t="s">
        <v>205</v>
      </c>
      <c r="E104" s="4" t="s">
        <v>406</v>
      </c>
      <c r="F104" s="4"/>
      <c r="G104" s="4"/>
      <c r="H104" s="4"/>
      <c r="I104" s="4"/>
      <c r="J104" s="4"/>
    </row>
    <row r="105" customFormat="false" ht="18" hidden="false" customHeight="true" outlineLevel="0" collapsed="false">
      <c r="A105" s="78"/>
      <c r="B105" s="63"/>
      <c r="C105" s="63"/>
      <c r="D105" s="63"/>
      <c r="E105" s="78"/>
      <c r="F105" s="7"/>
      <c r="G105" s="7"/>
      <c r="H105" s="7"/>
      <c r="I105" s="7"/>
      <c r="J105" s="7"/>
    </row>
    <row r="106" customFormat="false" ht="18" hidden="false" customHeight="true" outlineLevel="0" collapsed="false">
      <c r="A106" s="78"/>
      <c r="B106" s="63"/>
      <c r="C106" s="63"/>
      <c r="D106" s="63"/>
      <c r="E106" s="78"/>
      <c r="F106" s="49"/>
      <c r="G106" s="49"/>
      <c r="H106" s="49"/>
      <c r="I106" s="49"/>
      <c r="J106" s="49"/>
    </row>
    <row r="107" customFormat="false" ht="18" hidden="false" customHeight="true" outlineLevel="0" collapsed="false">
      <c r="A107" s="78"/>
      <c r="B107" s="63"/>
      <c r="C107" s="63"/>
      <c r="D107" s="63"/>
      <c r="E107" s="78"/>
      <c r="F107" s="7"/>
      <c r="G107" s="7"/>
      <c r="H107" s="7"/>
      <c r="I107" s="7"/>
      <c r="J107" s="7"/>
    </row>
    <row r="108" customFormat="false" ht="18" hidden="false" customHeight="true" outlineLevel="0" collapsed="false">
      <c r="A108" s="78"/>
      <c r="B108" s="63"/>
      <c r="C108" s="63"/>
      <c r="D108" s="63"/>
      <c r="E108" s="78"/>
      <c r="F108" s="49"/>
      <c r="G108" s="49"/>
      <c r="H108" s="49"/>
      <c r="I108" s="49"/>
      <c r="J108" s="49"/>
    </row>
    <row r="109" customFormat="false" ht="18" hidden="false" customHeight="true" outlineLevel="0" collapsed="false">
      <c r="A109" s="78"/>
      <c r="B109" s="63"/>
      <c r="C109" s="63"/>
      <c r="D109" s="63"/>
      <c r="E109" s="78"/>
      <c r="F109" s="7"/>
      <c r="G109" s="7"/>
      <c r="H109" s="7"/>
      <c r="I109" s="7"/>
      <c r="J109" s="7"/>
    </row>
    <row r="110" customFormat="false" ht="18" hidden="false" customHeight="true" outlineLevel="0" collapsed="false">
      <c r="A110" s="78"/>
      <c r="B110" s="63"/>
      <c r="C110" s="63"/>
      <c r="D110" s="63"/>
      <c r="E110" s="78"/>
      <c r="F110" s="49"/>
      <c r="G110" s="49"/>
      <c r="H110" s="49"/>
      <c r="I110" s="49"/>
      <c r="J110" s="49"/>
    </row>
    <row r="111" customFormat="false" ht="18" hidden="false" customHeight="true" outlineLevel="0" collapsed="false">
      <c r="A111" s="78"/>
      <c r="B111" s="63"/>
      <c r="C111" s="63"/>
      <c r="D111" s="63"/>
      <c r="E111" s="78"/>
      <c r="F111" s="7"/>
      <c r="G111" s="7"/>
      <c r="H111" s="7"/>
      <c r="I111" s="7"/>
      <c r="J111" s="7"/>
    </row>
    <row r="112" customFormat="false" ht="18" hidden="false" customHeight="true" outlineLevel="0" collapsed="false">
      <c r="A112" s="78"/>
      <c r="B112" s="63"/>
      <c r="C112" s="63"/>
      <c r="D112" s="63"/>
      <c r="E112" s="78"/>
      <c r="F112" s="49"/>
      <c r="G112" s="49"/>
      <c r="H112" s="49"/>
      <c r="I112" s="49"/>
      <c r="J112" s="49"/>
    </row>
    <row r="113" customFormat="false" ht="18" hidden="false" customHeight="true" outlineLevel="0" collapsed="false">
      <c r="A113" s="78"/>
      <c r="B113" s="63"/>
      <c r="C113" s="63"/>
      <c r="D113" s="63"/>
      <c r="E113" s="78"/>
      <c r="F113" s="7"/>
      <c r="G113" s="7"/>
      <c r="H113" s="7"/>
      <c r="I113" s="7"/>
      <c r="J113" s="7"/>
    </row>
    <row r="114" customFormat="false" ht="18" hidden="false" customHeight="true" outlineLevel="0" collapsed="false">
      <c r="A114" s="78"/>
      <c r="B114" s="63"/>
      <c r="C114" s="63"/>
      <c r="D114" s="63"/>
      <c r="E114" s="78"/>
      <c r="F114" s="49"/>
      <c r="G114" s="49"/>
      <c r="H114" s="49"/>
      <c r="I114" s="49"/>
      <c r="J114" s="49"/>
    </row>
  </sheetData>
  <mergeCells count="12">
    <mergeCell ref="A1:J1"/>
    <mergeCell ref="A2:J2"/>
    <mergeCell ref="A4:J4"/>
    <mergeCell ref="A11:J11"/>
    <mergeCell ref="A18:J18"/>
    <mergeCell ref="A24:J24"/>
    <mergeCell ref="A42:J42"/>
    <mergeCell ref="A56:J56"/>
    <mergeCell ref="A65:J65"/>
    <mergeCell ref="A81:J81"/>
    <mergeCell ref="A95:J95"/>
    <mergeCell ref="A103:J103"/>
  </mergeCells>
  <dataValidations count="4">
    <dataValidation allowBlank="true" errorStyle="stop" operator="between" showDropDown="false" showErrorMessage="false" showInputMessage="false" sqref="C44:C53" type="list">
      <formula1>"New SDA,Buy-Back,Existing (Buy-Back Pending)"</formula1>
      <formula2>0</formula2>
    </dataValidation>
    <dataValidation allowBlank="true" errorStyle="stop" operator="between" showDropDown="false" showErrorMessage="false" showInputMessage="false" sqref="J58:J62" type="list">
      <formula1>"Draft,Submitted,Under Review,Approved,Rejected"</formula1>
      <formula2>0</formula2>
    </dataValidation>
    <dataValidation allowBlank="true" errorStyle="stop" operator="between" showDropDown="false" showErrorMessage="false" showInputMessage="false" sqref="F97:F101" type="list">
      <formula1>"Planned,Recruiting,In Post,Delayed,Not Started"</formula1>
      <formula2>0</formula2>
    </dataValidation>
    <dataValidation allowBlank="true" errorStyle="stop" operator="between" showDropDown="false" showErrorMessage="false" showInputMessage="false" sqref="D105:D114" type="list">
      <formula1>"Open,In Progress,Complete,On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91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423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345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A5" s="5" t="s">
        <v>109</v>
      </c>
      <c r="B5" s="5" t="str">
        <f aca="false">Assumptions!A35</f>
        <v>Denton Village Surgery</v>
      </c>
    </row>
    <row r="6" customFormat="false" ht="18" hidden="false" customHeight="true" outlineLevel="0" collapsed="false">
      <c r="A6" s="5" t="s">
        <v>55</v>
      </c>
      <c r="B6" s="51" t="n">
        <f aca="false">Assumptions!B35</f>
        <v>6329</v>
      </c>
    </row>
    <row r="7" customFormat="false" ht="18" hidden="false" customHeight="true" outlineLevel="0" collapsed="false">
      <c r="A7" s="5" t="s">
        <v>346</v>
      </c>
      <c r="B7" s="5" t="s">
        <v>64</v>
      </c>
    </row>
    <row r="8" customFormat="false" ht="18" hidden="false" customHeight="true" outlineLevel="0" collapsed="false">
      <c r="A8" s="5" t="s">
        <v>57</v>
      </c>
      <c r="B8" s="5" t="s">
        <v>61</v>
      </c>
    </row>
    <row r="9" customFormat="false" ht="18" hidden="false" customHeight="true" outlineLevel="0" collapsed="false">
      <c r="A9" s="5" t="s">
        <v>347</v>
      </c>
      <c r="B9" s="52" t="n">
        <f aca="false">Assumptions!E35</f>
        <v>0.0706487765672442</v>
      </c>
    </row>
    <row r="11" customFormat="false" ht="24" hidden="false" customHeight="true" outlineLevel="0" collapsed="false">
      <c r="A11" s="3" t="s">
        <v>348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4" t="s">
        <v>183</v>
      </c>
      <c r="B12" s="4" t="s">
        <v>4</v>
      </c>
      <c r="C12" s="4"/>
      <c r="D12" s="4"/>
      <c r="E12" s="4"/>
      <c r="F12" s="4"/>
      <c r="G12" s="4"/>
      <c r="H12" s="4"/>
      <c r="I12" s="4"/>
      <c r="J12" s="4"/>
    </row>
    <row r="13" customFormat="false" ht="18" hidden="false" customHeight="true" outlineLevel="0" collapsed="false">
      <c r="A13" s="5" t="s">
        <v>349</v>
      </c>
      <c r="B13" s="26" t="n">
        <f aca="false">'Practice Allocations'!D10</f>
        <v>166642.57</v>
      </c>
    </row>
    <row r="14" customFormat="false" ht="18" hidden="false" customHeight="true" outlineLevel="0" collapsed="false">
      <c r="A14" s="5" t="s">
        <v>350</v>
      </c>
      <c r="B14" s="26" t="n">
        <f aca="false">'Practice Allocations'!E10</f>
        <v>13886.8808333333</v>
      </c>
    </row>
    <row r="15" customFormat="false" ht="18" hidden="false" customHeight="true" outlineLevel="0" collapsed="false">
      <c r="A15" s="5" t="s">
        <v>351</v>
      </c>
      <c r="B15" s="26" t="n">
        <f aca="false">'Practice Allocations'!F10</f>
        <v>124981.9275</v>
      </c>
    </row>
    <row r="16" customFormat="false" ht="18" hidden="false" customHeight="true" outlineLevel="0" collapsed="false">
      <c r="A16" s="5" t="s">
        <v>352</v>
      </c>
      <c r="B16" s="26" t="n">
        <f aca="false">'Practice Allocations'!D10*Assumptions!B16</f>
        <v>41660.6425</v>
      </c>
    </row>
    <row r="18" customFormat="false" ht="24" hidden="false" customHeight="true" outlineLevel="0" collapsed="false">
      <c r="A18" s="3" t="s">
        <v>353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30" hidden="false" customHeight="true" outlineLevel="0" collapsed="false">
      <c r="A19" s="4" t="s">
        <v>274</v>
      </c>
      <c r="B19" s="4" t="s">
        <v>354</v>
      </c>
      <c r="C19" s="4" t="s">
        <v>355</v>
      </c>
      <c r="D19" s="4" t="s">
        <v>102</v>
      </c>
      <c r="E19" s="4" t="s">
        <v>103</v>
      </c>
      <c r="F19" s="4" t="s">
        <v>356</v>
      </c>
      <c r="G19" s="4"/>
      <c r="H19" s="4"/>
      <c r="I19" s="4"/>
      <c r="J19" s="4"/>
    </row>
    <row r="20" customFormat="false" ht="18" hidden="false" customHeight="true" outlineLevel="0" collapsed="false">
      <c r="A20" s="71" t="s">
        <v>170</v>
      </c>
      <c r="B20" s="65" t="n">
        <f aca="false">Assumptions!B10</f>
        <v>39</v>
      </c>
      <c r="C20" s="72" t="n">
        <f aca="false">'Practice Allocations'!G10</f>
        <v>96.2008</v>
      </c>
      <c r="D20" s="73" t="n">
        <f aca="false">'Practice Allocations'!H10</f>
        <v>48.1004</v>
      </c>
      <c r="E20" s="73" t="n">
        <f aca="false">'Practice Allocations'!I10</f>
        <v>48.1004</v>
      </c>
      <c r="F20" s="74" t="n">
        <f aca="false">B20*C20</f>
        <v>3751.8312</v>
      </c>
    </row>
    <row r="21" customFormat="false" ht="18" hidden="false" customHeight="true" outlineLevel="0" collapsed="false">
      <c r="A21" s="47" t="s">
        <v>278</v>
      </c>
      <c r="B21" s="75" t="n">
        <f aca="false">Assumptions!B11</f>
        <v>13</v>
      </c>
      <c r="C21" s="76" t="n">
        <f aca="false">'Practice Allocations'!J10</f>
        <v>115.1878</v>
      </c>
      <c r="D21" s="77" t="n">
        <f aca="false">'Practice Allocations'!K10</f>
        <v>57.5939</v>
      </c>
      <c r="E21" s="77" t="n">
        <f aca="false">'Practice Allocations'!L10</f>
        <v>57.5939</v>
      </c>
      <c r="F21" s="48" t="n">
        <f aca="false">B21*C21</f>
        <v>1497.4414</v>
      </c>
    </row>
    <row r="22" customFormat="false" ht="18" hidden="false" customHeight="true" outlineLevel="0" collapsed="false">
      <c r="A22" s="20" t="s">
        <v>265</v>
      </c>
      <c r="B22" s="21" t="n">
        <f aca="false">B20+B21</f>
        <v>52</v>
      </c>
      <c r="C22" s="22"/>
      <c r="D22" s="22"/>
      <c r="E22" s="22"/>
      <c r="F22" s="21" t="n">
        <f aca="false">'Practice Allocations'!M10</f>
        <v>5249.2726</v>
      </c>
    </row>
    <row r="24" customFormat="false" ht="24" hidden="false" customHeight="true" outlineLevel="0" collapsed="false">
      <c r="A24" s="3" t="s">
        <v>357</v>
      </c>
      <c r="B24" s="3"/>
      <c r="C24" s="3"/>
      <c r="D24" s="3"/>
      <c r="E24" s="3"/>
      <c r="F24" s="3"/>
      <c r="G24" s="3"/>
      <c r="H24" s="3"/>
      <c r="I24" s="3"/>
      <c r="J24" s="3"/>
    </row>
    <row r="25" customFormat="false" ht="30" hidden="false" customHeight="true" outlineLevel="0" collapsed="false">
      <c r="A25" s="4" t="s">
        <v>273</v>
      </c>
      <c r="B25" s="4" t="s">
        <v>274</v>
      </c>
      <c r="C25" s="4" t="s">
        <v>358</v>
      </c>
      <c r="D25" s="4" t="s">
        <v>359</v>
      </c>
      <c r="E25" s="4" t="s">
        <v>360</v>
      </c>
      <c r="F25" s="4" t="s">
        <v>275</v>
      </c>
      <c r="G25" s="4" t="s">
        <v>112</v>
      </c>
      <c r="H25" s="4" t="s">
        <v>361</v>
      </c>
      <c r="I25" s="4" t="s">
        <v>362</v>
      </c>
      <c r="J25" s="4" t="s">
        <v>363</v>
      </c>
    </row>
    <row r="26" customFormat="false" ht="18" hidden="false" customHeight="true" outlineLevel="0" collapsed="false">
      <c r="A26" s="18" t="n">
        <v>1</v>
      </c>
      <c r="B26" s="61" t="s">
        <v>170</v>
      </c>
      <c r="C26" s="31" t="n">
        <f aca="false">C20</f>
        <v>96.2008</v>
      </c>
      <c r="D26" s="55"/>
      <c r="E26" s="55"/>
      <c r="F26" s="51" t="n">
        <f aca="false">D26+E26</f>
        <v>0</v>
      </c>
      <c r="G26" s="31" t="n">
        <f aca="false">F26-C26</f>
        <v>-96.2008</v>
      </c>
      <c r="H26" s="19" t="n">
        <f aca="false">IF(C26&gt;0,F26/C26,0)</f>
        <v>0</v>
      </c>
      <c r="I26" s="55"/>
      <c r="J26" s="55"/>
    </row>
    <row r="27" customFormat="false" ht="18" hidden="false" customHeight="true" outlineLevel="0" collapsed="false">
      <c r="A27" s="18" t="n">
        <v>2</v>
      </c>
      <c r="B27" s="61" t="s">
        <v>170</v>
      </c>
      <c r="C27" s="31" t="n">
        <f aca="false">C20</f>
        <v>96.2008</v>
      </c>
      <c r="D27" s="55"/>
      <c r="E27" s="55"/>
      <c r="F27" s="51" t="n">
        <f aca="false">D27+E27</f>
        <v>0</v>
      </c>
      <c r="G27" s="31" t="n">
        <f aca="false">F27-C27</f>
        <v>-96.2008</v>
      </c>
      <c r="H27" s="19" t="n">
        <f aca="false">IF(C27&gt;0,F27/C27,0)</f>
        <v>0</v>
      </c>
      <c r="I27" s="55"/>
      <c r="J27" s="55"/>
    </row>
    <row r="28" customFormat="false" ht="18" hidden="false" customHeight="true" outlineLevel="0" collapsed="false">
      <c r="A28" s="18" t="n">
        <v>3</v>
      </c>
      <c r="B28" s="61" t="s">
        <v>170</v>
      </c>
      <c r="C28" s="31" t="n">
        <f aca="false">C20</f>
        <v>96.2008</v>
      </c>
      <c r="D28" s="55"/>
      <c r="E28" s="55"/>
      <c r="F28" s="51" t="n">
        <f aca="false">D28+E28</f>
        <v>0</v>
      </c>
      <c r="G28" s="31" t="n">
        <f aca="false">F28-C28</f>
        <v>-96.2008</v>
      </c>
      <c r="H28" s="19" t="n">
        <f aca="false">IF(C28&gt;0,F28/C28,0)</f>
        <v>0</v>
      </c>
      <c r="I28" s="55"/>
      <c r="J28" s="55"/>
    </row>
    <row r="29" customFormat="false" ht="18" hidden="false" customHeight="true" outlineLevel="0" collapsed="false">
      <c r="A29" s="18" t="n">
        <v>4</v>
      </c>
      <c r="B29" s="61" t="s">
        <v>170</v>
      </c>
      <c r="C29" s="31" t="n">
        <f aca="false">C20</f>
        <v>96.2008</v>
      </c>
      <c r="D29" s="55"/>
      <c r="E29" s="55"/>
      <c r="F29" s="51" t="n">
        <f aca="false">D29+E29</f>
        <v>0</v>
      </c>
      <c r="G29" s="31" t="n">
        <f aca="false">F29-C29</f>
        <v>-96.2008</v>
      </c>
      <c r="H29" s="19" t="n">
        <f aca="false">IF(C29&gt;0,F29/C29,0)</f>
        <v>0</v>
      </c>
      <c r="I29" s="55"/>
      <c r="J29" s="55"/>
    </row>
    <row r="30" customFormat="false" ht="18" hidden="false" customHeight="true" outlineLevel="0" collapsed="false">
      <c r="A30" s="18" t="n">
        <v>5</v>
      </c>
      <c r="B30" s="61" t="s">
        <v>170</v>
      </c>
      <c r="C30" s="31" t="n">
        <f aca="false">C20</f>
        <v>96.2008</v>
      </c>
      <c r="D30" s="55"/>
      <c r="E30" s="55"/>
      <c r="F30" s="51" t="n">
        <f aca="false">D30+E30</f>
        <v>0</v>
      </c>
      <c r="G30" s="31" t="n">
        <f aca="false">F30-C30</f>
        <v>-96.2008</v>
      </c>
      <c r="H30" s="19" t="n">
        <f aca="false">IF(C30&gt;0,F30/C30,0)</f>
        <v>0</v>
      </c>
      <c r="I30" s="55"/>
      <c r="J30" s="55"/>
    </row>
    <row r="31" customFormat="false" ht="18" hidden="false" customHeight="true" outlineLevel="0" collapsed="false">
      <c r="A31" s="18" t="n">
        <v>6</v>
      </c>
      <c r="B31" s="61" t="s">
        <v>170</v>
      </c>
      <c r="C31" s="31" t="n">
        <f aca="false">C20</f>
        <v>96.2008</v>
      </c>
      <c r="D31" s="55"/>
      <c r="E31" s="55"/>
      <c r="F31" s="51" t="n">
        <f aca="false">D31+E31</f>
        <v>0</v>
      </c>
      <c r="G31" s="31" t="n">
        <f aca="false">F31-C31</f>
        <v>-96.2008</v>
      </c>
      <c r="H31" s="19" t="n">
        <f aca="false">IF(C31&gt;0,F31/C31,0)</f>
        <v>0</v>
      </c>
      <c r="I31" s="55"/>
      <c r="J31" s="55"/>
    </row>
    <row r="32" customFormat="false" ht="18" hidden="false" customHeight="true" outlineLevel="0" collapsed="false">
      <c r="A32" s="18" t="n">
        <v>7</v>
      </c>
      <c r="B32" s="61" t="s">
        <v>170</v>
      </c>
      <c r="C32" s="31" t="n">
        <f aca="false">C20</f>
        <v>96.2008</v>
      </c>
      <c r="D32" s="55"/>
      <c r="E32" s="55"/>
      <c r="F32" s="51" t="n">
        <f aca="false">D32+E32</f>
        <v>0</v>
      </c>
      <c r="G32" s="31" t="n">
        <f aca="false">F32-C32</f>
        <v>-96.2008</v>
      </c>
      <c r="H32" s="19" t="n">
        <f aca="false">IF(C32&gt;0,F32/C32,0)</f>
        <v>0</v>
      </c>
      <c r="I32" s="55"/>
      <c r="J32" s="55"/>
    </row>
    <row r="33" customFormat="false" ht="18" hidden="false" customHeight="true" outlineLevel="0" collapsed="false">
      <c r="A33" s="18" t="n">
        <v>8</v>
      </c>
      <c r="B33" s="61" t="s">
        <v>170</v>
      </c>
      <c r="C33" s="31" t="n">
        <f aca="false">C20</f>
        <v>96.2008</v>
      </c>
      <c r="D33" s="55"/>
      <c r="E33" s="55"/>
      <c r="F33" s="51" t="n">
        <f aca="false">D33+E33</f>
        <v>0</v>
      </c>
      <c r="G33" s="31" t="n">
        <f aca="false">F33-C33</f>
        <v>-96.2008</v>
      </c>
      <c r="H33" s="19" t="n">
        <f aca="false">IF(C33&gt;0,F33/C33,0)</f>
        <v>0</v>
      </c>
      <c r="I33" s="55"/>
      <c r="J33" s="55"/>
    </row>
    <row r="34" customFormat="false" ht="18" hidden="false" customHeight="true" outlineLevel="0" collapsed="false">
      <c r="A34" s="18" t="n">
        <v>9</v>
      </c>
      <c r="B34" s="61" t="s">
        <v>170</v>
      </c>
      <c r="C34" s="31" t="n">
        <f aca="false">C20</f>
        <v>96.2008</v>
      </c>
      <c r="D34" s="55"/>
      <c r="E34" s="55"/>
      <c r="F34" s="51" t="n">
        <f aca="false">D34+E34</f>
        <v>0</v>
      </c>
      <c r="G34" s="31" t="n">
        <f aca="false">F34-C34</f>
        <v>-96.2008</v>
      </c>
      <c r="H34" s="19" t="n">
        <f aca="false">IF(C34&gt;0,F34/C34,0)</f>
        <v>0</v>
      </c>
      <c r="I34" s="55"/>
      <c r="J34" s="55"/>
    </row>
    <row r="35" customFormat="false" ht="18" hidden="false" customHeight="true" outlineLevel="0" collapsed="false">
      <c r="A35" s="18" t="n">
        <v>10</v>
      </c>
      <c r="B35" s="61" t="s">
        <v>170</v>
      </c>
      <c r="C35" s="31" t="n">
        <f aca="false">C20</f>
        <v>96.2008</v>
      </c>
      <c r="D35" s="55"/>
      <c r="E35" s="55"/>
      <c r="F35" s="51" t="n">
        <f aca="false">D35+E35</f>
        <v>0</v>
      </c>
      <c r="G35" s="31" t="n">
        <f aca="false">F35-C35</f>
        <v>-96.2008</v>
      </c>
      <c r="H35" s="19" t="n">
        <f aca="false">IF(C35&gt;0,F35/C35,0)</f>
        <v>0</v>
      </c>
      <c r="I35" s="55"/>
      <c r="J35" s="55"/>
    </row>
    <row r="36" customFormat="false" ht="18" hidden="false" customHeight="true" outlineLevel="0" collapsed="false">
      <c r="A36" s="18" t="n">
        <v>11</v>
      </c>
      <c r="B36" s="61" t="s">
        <v>170</v>
      </c>
      <c r="C36" s="31" t="n">
        <f aca="false">C20</f>
        <v>96.2008</v>
      </c>
      <c r="D36" s="55"/>
      <c r="E36" s="55"/>
      <c r="F36" s="51" t="n">
        <f aca="false">D36+E36</f>
        <v>0</v>
      </c>
      <c r="G36" s="31" t="n">
        <f aca="false">F36-C36</f>
        <v>-96.2008</v>
      </c>
      <c r="H36" s="19" t="n">
        <f aca="false">IF(C36&gt;0,F36/C36,0)</f>
        <v>0</v>
      </c>
      <c r="I36" s="55"/>
      <c r="J36" s="55"/>
    </row>
    <row r="37" customFormat="false" ht="18" hidden="false" customHeight="true" outlineLevel="0" collapsed="false">
      <c r="A37" s="18" t="n">
        <v>12</v>
      </c>
      <c r="B37" s="61" t="s">
        <v>170</v>
      </c>
      <c r="C37" s="31" t="n">
        <f aca="false">C20</f>
        <v>96.2008</v>
      </c>
      <c r="D37" s="55"/>
      <c r="E37" s="55"/>
      <c r="F37" s="51" t="n">
        <f aca="false">D37+E37</f>
        <v>0</v>
      </c>
      <c r="G37" s="31" t="n">
        <f aca="false">F37-C37</f>
        <v>-96.2008</v>
      </c>
      <c r="H37" s="19" t="n">
        <f aca="false">IF(C37&gt;0,F37/C37,0)</f>
        <v>0</v>
      </c>
      <c r="I37" s="55"/>
      <c r="J37" s="55"/>
    </row>
    <row r="38" customFormat="false" ht="18" hidden="false" customHeight="true" outlineLevel="0" collapsed="false">
      <c r="A38" s="18" t="n">
        <v>13</v>
      </c>
      <c r="B38" s="61" t="s">
        <v>170</v>
      </c>
      <c r="C38" s="31" t="n">
        <f aca="false">C20</f>
        <v>96.2008</v>
      </c>
      <c r="D38" s="55"/>
      <c r="E38" s="55"/>
      <c r="F38" s="51" t="n">
        <f aca="false">D38+E38</f>
        <v>0</v>
      </c>
      <c r="G38" s="31" t="n">
        <f aca="false">F38-C38</f>
        <v>-96.2008</v>
      </c>
      <c r="H38" s="19" t="n">
        <f aca="false">IF(C38&gt;0,F38/C38,0)</f>
        <v>0</v>
      </c>
      <c r="I38" s="55"/>
      <c r="J38" s="55"/>
    </row>
    <row r="39" customFormat="false" ht="18" hidden="false" customHeight="true" outlineLevel="0" collapsed="false">
      <c r="A39" s="20" t="s">
        <v>364</v>
      </c>
      <c r="B39" s="22"/>
      <c r="C39" s="21" t="n">
        <f aca="false">SUM(C26:C38)</f>
        <v>1250.6104</v>
      </c>
      <c r="D39" s="21" t="n">
        <f aca="false">SUM(D26:D38)</f>
        <v>0</v>
      </c>
      <c r="E39" s="21" t="n">
        <f aca="false">SUM(E26:E38)</f>
        <v>0</v>
      </c>
      <c r="F39" s="21" t="n">
        <f aca="false">SUM(F26:F38)</f>
        <v>0</v>
      </c>
      <c r="G39" s="21" t="n">
        <f aca="false">F39-C39</f>
        <v>-1250.6104</v>
      </c>
      <c r="H39" s="23" t="n">
        <f aca="false">IF(C39&gt;0,F39/C39,0)</f>
        <v>0</v>
      </c>
      <c r="I39" s="21" t="n">
        <f aca="false">SUM(I26:I38)</f>
        <v>0</v>
      </c>
      <c r="J39" s="21" t="n">
        <f aca="false">SUM(J26:J38)</f>
        <v>0</v>
      </c>
    </row>
    <row r="40" customFormat="false" ht="18" hidden="false" customHeight="true" outlineLevel="0" collapsed="false">
      <c r="A40" s="5" t="s">
        <v>365</v>
      </c>
      <c r="B40" s="5" t="str">
        <f aca="false">IF(H39&gt;=1,"GREEN",IF(H39&gt;=0.8,"AMBER","RED"))</f>
        <v>RED</v>
      </c>
    </row>
    <row r="42" customFormat="false" ht="24" hidden="false" customHeight="true" outlineLevel="0" collapsed="false">
      <c r="A42" s="3" t="s">
        <v>366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30" hidden="false" customHeight="true" outlineLevel="0" collapsed="false">
      <c r="A43" s="4" t="s">
        <v>174</v>
      </c>
      <c r="B43" s="4" t="s">
        <v>72</v>
      </c>
      <c r="C43" s="4" t="s">
        <v>281</v>
      </c>
      <c r="D43" s="4" t="s">
        <v>197</v>
      </c>
      <c r="E43" s="4" t="s">
        <v>367</v>
      </c>
      <c r="F43" s="4" t="s">
        <v>368</v>
      </c>
      <c r="G43" s="4" t="s">
        <v>282</v>
      </c>
      <c r="H43" s="4" t="s">
        <v>199</v>
      </c>
      <c r="I43" s="4" t="s">
        <v>283</v>
      </c>
      <c r="J43" s="4" t="s">
        <v>369</v>
      </c>
    </row>
    <row r="44" customFormat="false" ht="18" hidden="false" customHeight="true" outlineLevel="0" collapsed="false">
      <c r="A44" s="11" t="s">
        <v>210</v>
      </c>
      <c r="B44" s="11" t="s">
        <v>49</v>
      </c>
      <c r="C44" s="79" t="s">
        <v>362</v>
      </c>
      <c r="D44" s="9" t="n">
        <v>8</v>
      </c>
      <c r="E44" s="9" t="n">
        <v>12</v>
      </c>
      <c r="F44" s="18" t="n">
        <f aca="false">IF(D44="","",D44*E44)</f>
        <v>96</v>
      </c>
      <c r="G44" s="17" t="n">
        <v>11000</v>
      </c>
      <c r="H44" s="29" t="n">
        <f aca="false">IF(D44="","",D44*G44)</f>
        <v>88000</v>
      </c>
      <c r="I44" s="29" t="n">
        <f aca="false">IF(H44="","",H44*Assumptions!B17)</f>
        <v>25854.4</v>
      </c>
      <c r="J44" s="26" t="n">
        <f aca="false">IF(H44="","",H44+I44)</f>
        <v>113854.4</v>
      </c>
    </row>
    <row r="45" customFormat="false" ht="18" hidden="false" customHeight="true" outlineLevel="0" collapsed="false">
      <c r="A45" s="63"/>
      <c r="B45" s="63"/>
      <c r="C45" s="63"/>
      <c r="D45" s="55"/>
      <c r="E45" s="55"/>
      <c r="F45" s="18" t="str">
        <f aca="false">IF(D45="","",D45*E45)</f>
        <v/>
      </c>
      <c r="G45" s="56"/>
      <c r="H45" s="29" t="str">
        <f aca="false">IF(D45="","",D45*G45)</f>
        <v/>
      </c>
      <c r="I45" s="29" t="str">
        <f aca="false">IF(H45="","",H45*Assumptions!B17)</f>
        <v/>
      </c>
      <c r="J45" s="26" t="str">
        <f aca="false">IF(H45="","",H45+I45)</f>
        <v/>
      </c>
    </row>
    <row r="46" customFormat="false" ht="18" hidden="false" customHeight="true" outlineLevel="0" collapsed="false">
      <c r="A46" s="63"/>
      <c r="B46" s="63"/>
      <c r="C46" s="63"/>
      <c r="D46" s="55"/>
      <c r="E46" s="55"/>
      <c r="F46" s="18" t="str">
        <f aca="false">IF(D46="","",D46*E46)</f>
        <v/>
      </c>
      <c r="G46" s="56"/>
      <c r="H46" s="29" t="str">
        <f aca="false">IF(D46="","",D46*G46)</f>
        <v/>
      </c>
      <c r="I46" s="29" t="str">
        <f aca="false">IF(H46="","",H46*Assumptions!B17)</f>
        <v/>
      </c>
      <c r="J46" s="26" t="str">
        <f aca="false">IF(H46="","",H46+I46)</f>
        <v/>
      </c>
    </row>
    <row r="47" customFormat="false" ht="18" hidden="false" customHeight="true" outlineLevel="0" collapsed="false">
      <c r="A47" s="63"/>
      <c r="B47" s="63"/>
      <c r="C47" s="63"/>
      <c r="D47" s="55"/>
      <c r="E47" s="55"/>
      <c r="F47" s="18" t="str">
        <f aca="false">IF(D47="","",D47*E47)</f>
        <v/>
      </c>
      <c r="G47" s="56"/>
      <c r="H47" s="29" t="str">
        <f aca="false">IF(D47="","",D47*G47)</f>
        <v/>
      </c>
      <c r="I47" s="29" t="str">
        <f aca="false">IF(H47="","",H47*Assumptions!B17)</f>
        <v/>
      </c>
      <c r="J47" s="26" t="str">
        <f aca="false">IF(H47="","",H47+I47)</f>
        <v/>
      </c>
    </row>
    <row r="48" customFormat="false" ht="18" hidden="false" customHeight="true" outlineLevel="0" collapsed="false">
      <c r="A48" s="63"/>
      <c r="B48" s="63"/>
      <c r="C48" s="63"/>
      <c r="D48" s="55"/>
      <c r="E48" s="55"/>
      <c r="F48" s="18" t="str">
        <f aca="false">IF(D48="","",D48*E48)</f>
        <v/>
      </c>
      <c r="G48" s="56"/>
      <c r="H48" s="29" t="str">
        <f aca="false">IF(D48="","",D48*G48)</f>
        <v/>
      </c>
      <c r="I48" s="29" t="str">
        <f aca="false">IF(H48="","",H48*Assumptions!B17)</f>
        <v/>
      </c>
      <c r="J48" s="26" t="str">
        <f aca="false">IF(H48="","",H48+I48)</f>
        <v/>
      </c>
    </row>
    <row r="49" customFormat="false" ht="18" hidden="false" customHeight="true" outlineLevel="0" collapsed="false">
      <c r="A49" s="63"/>
      <c r="B49" s="63"/>
      <c r="C49" s="63"/>
      <c r="D49" s="55"/>
      <c r="E49" s="55"/>
      <c r="F49" s="18" t="str">
        <f aca="false">IF(D49="","",D49*E49)</f>
        <v/>
      </c>
      <c r="G49" s="56"/>
      <c r="H49" s="29" t="str">
        <f aca="false">IF(D49="","",D49*G49)</f>
        <v/>
      </c>
      <c r="I49" s="29" t="str">
        <f aca="false">IF(H49="","",H49*Assumptions!B17)</f>
        <v/>
      </c>
      <c r="J49" s="26" t="str">
        <f aca="false">IF(H49="","",H49+I49)</f>
        <v/>
      </c>
    </row>
    <row r="50" customFormat="false" ht="18" hidden="false" customHeight="true" outlineLevel="0" collapsed="false">
      <c r="A50" s="63"/>
      <c r="B50" s="63"/>
      <c r="C50" s="63"/>
      <c r="D50" s="55"/>
      <c r="E50" s="55"/>
      <c r="F50" s="18" t="str">
        <f aca="false">IF(D50="","",D50*E50)</f>
        <v/>
      </c>
      <c r="G50" s="56"/>
      <c r="H50" s="29" t="str">
        <f aca="false">IF(D50="","",D50*G50)</f>
        <v/>
      </c>
      <c r="I50" s="29" t="str">
        <f aca="false">IF(H50="","",H50*Assumptions!B17)</f>
        <v/>
      </c>
      <c r="J50" s="26" t="str">
        <f aca="false">IF(H50="","",H50+I50)</f>
        <v/>
      </c>
    </row>
    <row r="51" customFormat="false" ht="18" hidden="false" customHeight="true" outlineLevel="0" collapsed="false">
      <c r="A51" s="63"/>
      <c r="B51" s="63"/>
      <c r="C51" s="63"/>
      <c r="D51" s="55"/>
      <c r="E51" s="55"/>
      <c r="F51" s="18" t="str">
        <f aca="false">IF(D51="","",D51*E51)</f>
        <v/>
      </c>
      <c r="G51" s="56"/>
      <c r="H51" s="29" t="str">
        <f aca="false">IF(D51="","",D51*G51)</f>
        <v/>
      </c>
      <c r="I51" s="29" t="str">
        <f aca="false">IF(H51="","",H51*Assumptions!B17)</f>
        <v/>
      </c>
      <c r="J51" s="26" t="str">
        <f aca="false">IF(H51="","",H51+I51)</f>
        <v/>
      </c>
    </row>
    <row r="52" customFormat="false" ht="18" hidden="false" customHeight="true" outlineLevel="0" collapsed="false">
      <c r="A52" s="63"/>
      <c r="B52" s="63"/>
      <c r="C52" s="63"/>
      <c r="D52" s="55"/>
      <c r="E52" s="55"/>
      <c r="F52" s="18" t="str">
        <f aca="false">IF(D52="","",D52*E52)</f>
        <v/>
      </c>
      <c r="G52" s="56"/>
      <c r="H52" s="29" t="str">
        <f aca="false">IF(D52="","",D52*G52)</f>
        <v/>
      </c>
      <c r="I52" s="29" t="str">
        <f aca="false">IF(H52="","",H52*Assumptions!B17)</f>
        <v/>
      </c>
      <c r="J52" s="26" t="str">
        <f aca="false">IF(H52="","",H52+I52)</f>
        <v/>
      </c>
    </row>
    <row r="53" customFormat="false" ht="18" hidden="false" customHeight="true" outlineLevel="0" collapsed="false">
      <c r="A53" s="63"/>
      <c r="B53" s="63"/>
      <c r="C53" s="63"/>
      <c r="D53" s="55"/>
      <c r="E53" s="55"/>
      <c r="F53" s="18" t="str">
        <f aca="false">IF(D53="","",D53*E53)</f>
        <v/>
      </c>
      <c r="G53" s="56"/>
      <c r="H53" s="29" t="str">
        <f aca="false">IF(D53="","",D53*G53)</f>
        <v/>
      </c>
      <c r="I53" s="29" t="str">
        <f aca="false">IF(H53="","",H53*Assumptions!B17)</f>
        <v/>
      </c>
      <c r="J53" s="26" t="str">
        <f aca="false">IF(H53="","",H53+I53)</f>
        <v/>
      </c>
    </row>
    <row r="54" customFormat="false" ht="18" hidden="false" customHeight="true" outlineLevel="0" collapsed="false">
      <c r="A54" s="20" t="s">
        <v>370</v>
      </c>
      <c r="B54" s="22"/>
      <c r="C54" s="22"/>
      <c r="D54" s="21" t="n">
        <f aca="false">SUM(D44:D53)</f>
        <v>8</v>
      </c>
      <c r="E54" s="22"/>
      <c r="F54" s="21" t="n">
        <f aca="false">SUM(F44:F53)</f>
        <v>96</v>
      </c>
      <c r="G54" s="22"/>
      <c r="H54" s="32" t="n">
        <f aca="false">SUM(H44:H53)</f>
        <v>88000</v>
      </c>
      <c r="I54" s="32" t="n">
        <f aca="false">SUM(I44:I53)</f>
        <v>25854.4</v>
      </c>
      <c r="J54" s="32" t="n">
        <f aca="false">SUM(J44:J53)</f>
        <v>113854.4</v>
      </c>
    </row>
    <row r="56" customFormat="false" ht="24" hidden="false" customHeight="true" outlineLevel="0" collapsed="false">
      <c r="A56" s="3" t="s">
        <v>371</v>
      </c>
      <c r="B56" s="3"/>
      <c r="C56" s="3"/>
      <c r="D56" s="3"/>
      <c r="E56" s="3"/>
      <c r="F56" s="3"/>
      <c r="G56" s="3"/>
      <c r="H56" s="3"/>
      <c r="I56" s="3"/>
      <c r="J56" s="3"/>
    </row>
    <row r="57" customFormat="false" ht="30" hidden="false" customHeight="true" outlineLevel="0" collapsed="false">
      <c r="A57" s="4" t="s">
        <v>174</v>
      </c>
      <c r="B57" s="4" t="s">
        <v>72</v>
      </c>
      <c r="C57" s="4" t="s">
        <v>197</v>
      </c>
      <c r="D57" s="4" t="s">
        <v>372</v>
      </c>
      <c r="E57" s="4" t="s">
        <v>373</v>
      </c>
      <c r="F57" s="4" t="s">
        <v>283</v>
      </c>
      <c r="G57" s="4" t="s">
        <v>374</v>
      </c>
      <c r="H57" s="4" t="s">
        <v>202</v>
      </c>
      <c r="I57" s="4" t="s">
        <v>375</v>
      </c>
      <c r="J57" s="4" t="s">
        <v>205</v>
      </c>
    </row>
    <row r="58" customFormat="false" ht="18" hidden="false" customHeight="true" outlineLevel="0" collapsed="false">
      <c r="A58" s="11" t="s">
        <v>424</v>
      </c>
      <c r="B58" s="11" t="s">
        <v>49</v>
      </c>
      <c r="C58" s="9"/>
      <c r="D58" s="17" t="n">
        <v>11000</v>
      </c>
      <c r="E58" s="29" t="str">
        <f aca="false">IF(C58="","",C58*D58)</f>
        <v/>
      </c>
      <c r="F58" s="29" t="str">
        <f aca="false">IF(E58="","",E58*Assumptions!B17)</f>
        <v/>
      </c>
      <c r="G58" s="26" t="str">
        <f aca="false">IF(E58="","",E58+F58)</f>
        <v/>
      </c>
      <c r="H58" s="14" t="n">
        <v>1</v>
      </c>
      <c r="I58" s="26" t="str">
        <f aca="false">IF(G58="","",G58*H58)</f>
        <v/>
      </c>
      <c r="J58" s="54" t="s">
        <v>211</v>
      </c>
    </row>
    <row r="59" customFormat="false" ht="18" hidden="false" customHeight="true" outlineLevel="0" collapsed="false">
      <c r="A59" s="63"/>
      <c r="B59" s="63"/>
      <c r="C59" s="55"/>
      <c r="D59" s="56"/>
      <c r="E59" s="29" t="str">
        <f aca="false">IF(C59="","",C59*D59)</f>
        <v/>
      </c>
      <c r="F59" s="29" t="str">
        <f aca="false">IF(E59="","",E59*Assumptions!B17)</f>
        <v/>
      </c>
      <c r="G59" s="26" t="str">
        <f aca="false">IF(E59="","",E59+F59)</f>
        <v/>
      </c>
      <c r="H59" s="57"/>
      <c r="I59" s="26" t="str">
        <f aca="false">IF(G59="","",G59*H59)</f>
        <v/>
      </c>
      <c r="J59" s="63"/>
    </row>
    <row r="60" customFormat="false" ht="18" hidden="false" customHeight="true" outlineLevel="0" collapsed="false">
      <c r="A60" s="63"/>
      <c r="B60" s="63"/>
      <c r="C60" s="55"/>
      <c r="D60" s="56"/>
      <c r="E60" s="29" t="str">
        <f aca="false">IF(C60="","",C60*D60)</f>
        <v/>
      </c>
      <c r="F60" s="29" t="str">
        <f aca="false">IF(E60="","",E60*Assumptions!B17)</f>
        <v/>
      </c>
      <c r="G60" s="26" t="str">
        <f aca="false">IF(E60="","",E60+F60)</f>
        <v/>
      </c>
      <c r="H60" s="57"/>
      <c r="I60" s="26" t="str">
        <f aca="false">IF(G60="","",G60*H60)</f>
        <v/>
      </c>
      <c r="J60" s="63"/>
    </row>
    <row r="61" customFormat="false" ht="18" hidden="false" customHeight="true" outlineLevel="0" collapsed="false">
      <c r="A61" s="63"/>
      <c r="B61" s="63"/>
      <c r="C61" s="55"/>
      <c r="D61" s="56"/>
      <c r="E61" s="29" t="str">
        <f aca="false">IF(C61="","",C61*D61)</f>
        <v/>
      </c>
      <c r="F61" s="29" t="str">
        <f aca="false">IF(E61="","",E61*Assumptions!B17)</f>
        <v/>
      </c>
      <c r="G61" s="26" t="str">
        <f aca="false">IF(E61="","",E61+F61)</f>
        <v/>
      </c>
      <c r="H61" s="57"/>
      <c r="I61" s="26" t="str">
        <f aca="false">IF(G61="","",G61*H61)</f>
        <v/>
      </c>
      <c r="J61" s="63"/>
    </row>
    <row r="62" customFormat="false" ht="18" hidden="false" customHeight="true" outlineLevel="0" collapsed="false">
      <c r="A62" s="63"/>
      <c r="B62" s="63"/>
      <c r="C62" s="55"/>
      <c r="D62" s="56"/>
      <c r="E62" s="29" t="str">
        <f aca="false">IF(C62="","",C62*D62)</f>
        <v/>
      </c>
      <c r="F62" s="29" t="str">
        <f aca="false">IF(E62="","",E62*Assumptions!B17)</f>
        <v/>
      </c>
      <c r="G62" s="26" t="str">
        <f aca="false">IF(E62="","",E62+F62)</f>
        <v/>
      </c>
      <c r="H62" s="57"/>
      <c r="I62" s="26" t="str">
        <f aca="false">IF(G62="","",G62*H62)</f>
        <v/>
      </c>
      <c r="J62" s="63"/>
    </row>
    <row r="63" customFormat="false" ht="18" hidden="false" customHeight="true" outlineLevel="0" collapsed="false">
      <c r="A63" s="20" t="s">
        <v>376</v>
      </c>
      <c r="B63" s="22"/>
      <c r="C63" s="21" t="n">
        <f aca="false">SUM(C58:C62)</f>
        <v>0</v>
      </c>
      <c r="D63" s="22"/>
      <c r="E63" s="32" t="n">
        <f aca="false">SUM(E58:E62)</f>
        <v>0</v>
      </c>
      <c r="F63" s="32" t="n">
        <f aca="false">SUM(F58:F62)</f>
        <v>0</v>
      </c>
      <c r="G63" s="32" t="n">
        <f aca="false">SUM(G58:G62)</f>
        <v>0</v>
      </c>
      <c r="H63" s="22"/>
      <c r="I63" s="32" t="n">
        <f aca="false">SUM(I58:I62)</f>
        <v>0</v>
      </c>
      <c r="J63" s="22"/>
    </row>
    <row r="65" customFormat="false" ht="24" hidden="false" customHeight="true" outlineLevel="0" collapsed="false">
      <c r="A65" s="3" t="s">
        <v>377</v>
      </c>
      <c r="B65" s="3"/>
      <c r="C65" s="3"/>
      <c r="D65" s="3"/>
      <c r="E65" s="3"/>
      <c r="F65" s="3"/>
      <c r="G65" s="3"/>
      <c r="H65" s="3"/>
      <c r="I65" s="3"/>
      <c r="J65" s="3"/>
    </row>
    <row r="66" customFormat="false" ht="30" hidden="false" customHeight="true" outlineLevel="0" collapsed="false">
      <c r="A66" s="4" t="s">
        <v>245</v>
      </c>
      <c r="B66" s="4" t="s">
        <v>378</v>
      </c>
      <c r="C66" s="4" t="s">
        <v>379</v>
      </c>
      <c r="D66" s="4" t="s">
        <v>248</v>
      </c>
      <c r="E66" s="4" t="s">
        <v>249</v>
      </c>
      <c r="F66" s="4" t="s">
        <v>240</v>
      </c>
      <c r="G66" s="4" t="s">
        <v>380</v>
      </c>
      <c r="H66" s="4" t="s">
        <v>381</v>
      </c>
      <c r="I66" s="4" t="s">
        <v>382</v>
      </c>
      <c r="J66" s="4" t="s">
        <v>277</v>
      </c>
    </row>
    <row r="67" customFormat="false" ht="18" hidden="false" customHeight="true" outlineLevel="0" collapsed="false">
      <c r="A67" s="7" t="s">
        <v>253</v>
      </c>
      <c r="B67" s="29" t="n">
        <f aca="false">'Practice Allocations'!E10</f>
        <v>13886.8808333333</v>
      </c>
      <c r="C67" s="29" t="n">
        <f aca="false">B67*1</f>
        <v>13886.8808333333</v>
      </c>
      <c r="D67" s="56"/>
      <c r="E67" s="56"/>
      <c r="F67" s="29" t="n">
        <f aca="false">D67+E67</f>
        <v>0</v>
      </c>
      <c r="G67" s="29" t="n">
        <f aca="false">F67</f>
        <v>0</v>
      </c>
      <c r="H67" s="26" t="n">
        <f aca="false">C67-G67</f>
        <v>13886.8808333333</v>
      </c>
      <c r="I67" s="19" t="n">
        <f aca="false">IF(C67&gt;0,G67/C67,0)</f>
        <v>0</v>
      </c>
      <c r="J67" s="5" t="str">
        <f aca="false">IF(H67&lt;0,"OVERSPEND",IF(I67&gt;0.9,"HIGH","OK"))</f>
        <v>OK</v>
      </c>
    </row>
    <row r="68" customFormat="false" ht="18" hidden="false" customHeight="true" outlineLevel="0" collapsed="false">
      <c r="A68" s="7" t="s">
        <v>254</v>
      </c>
      <c r="B68" s="29" t="n">
        <f aca="false">'Practice Allocations'!E10</f>
        <v>13886.8808333333</v>
      </c>
      <c r="C68" s="29" t="n">
        <f aca="false">B68*2</f>
        <v>27773.7616666667</v>
      </c>
      <c r="D68" s="56"/>
      <c r="E68" s="56"/>
      <c r="F68" s="29" t="n">
        <f aca="false">D68+E68</f>
        <v>0</v>
      </c>
      <c r="G68" s="29" t="n">
        <f aca="false">G67+F68</f>
        <v>0</v>
      </c>
      <c r="H68" s="26" t="n">
        <f aca="false">C68-G68</f>
        <v>27773.7616666667</v>
      </c>
      <c r="I68" s="19" t="n">
        <f aca="false">IF(C68&gt;0,G68/C68,0)</f>
        <v>0</v>
      </c>
      <c r="J68" s="5" t="str">
        <f aca="false">IF(H68&lt;0,"OVERSPEND",IF(I68&gt;0.9,"HIGH","OK"))</f>
        <v>OK</v>
      </c>
    </row>
    <row r="69" customFormat="false" ht="18" hidden="false" customHeight="true" outlineLevel="0" collapsed="false">
      <c r="A69" s="7" t="s">
        <v>255</v>
      </c>
      <c r="B69" s="29" t="n">
        <f aca="false">'Practice Allocations'!E10</f>
        <v>13886.8808333333</v>
      </c>
      <c r="C69" s="29" t="n">
        <f aca="false">B69*3</f>
        <v>41660.6425</v>
      </c>
      <c r="D69" s="56"/>
      <c r="E69" s="56"/>
      <c r="F69" s="29" t="n">
        <f aca="false">D69+E69</f>
        <v>0</v>
      </c>
      <c r="G69" s="29" t="n">
        <f aca="false">G68+F69</f>
        <v>0</v>
      </c>
      <c r="H69" s="26" t="n">
        <f aca="false">C69-G69</f>
        <v>41660.6425</v>
      </c>
      <c r="I69" s="19" t="n">
        <f aca="false">IF(C69&gt;0,G69/C69,0)</f>
        <v>0</v>
      </c>
      <c r="J69" s="5" t="str">
        <f aca="false">IF(H69&lt;0,"OVERSPEND",IF(I69&gt;0.9,"HIGH","OK"))</f>
        <v>OK</v>
      </c>
    </row>
    <row r="70" customFormat="false" ht="18" hidden="false" customHeight="true" outlineLevel="0" collapsed="false">
      <c r="A70" s="7" t="s">
        <v>256</v>
      </c>
      <c r="B70" s="29" t="n">
        <f aca="false">'Practice Allocations'!E10</f>
        <v>13886.8808333333</v>
      </c>
      <c r="C70" s="29" t="n">
        <f aca="false">B70*4</f>
        <v>55547.5233333333</v>
      </c>
      <c r="D70" s="56"/>
      <c r="E70" s="56"/>
      <c r="F70" s="29" t="n">
        <f aca="false">D70+E70</f>
        <v>0</v>
      </c>
      <c r="G70" s="29" t="n">
        <f aca="false">G69+F70</f>
        <v>0</v>
      </c>
      <c r="H70" s="26" t="n">
        <f aca="false">C70-G70</f>
        <v>55547.5233333333</v>
      </c>
      <c r="I70" s="19" t="n">
        <f aca="false">IF(C70&gt;0,G70/C70,0)</f>
        <v>0</v>
      </c>
      <c r="J70" s="5" t="str">
        <f aca="false">IF(H70&lt;0,"OVERSPEND",IF(I70&gt;0.9,"HIGH","OK"))</f>
        <v>OK</v>
      </c>
    </row>
    <row r="71" customFormat="false" ht="18" hidden="false" customHeight="true" outlineLevel="0" collapsed="false">
      <c r="A71" s="7" t="s">
        <v>257</v>
      </c>
      <c r="B71" s="29" t="n">
        <f aca="false">'Practice Allocations'!E10</f>
        <v>13886.8808333333</v>
      </c>
      <c r="C71" s="29" t="n">
        <f aca="false">B71*5</f>
        <v>69434.4041666667</v>
      </c>
      <c r="D71" s="56"/>
      <c r="E71" s="56"/>
      <c r="F71" s="29" t="n">
        <f aca="false">D71+E71</f>
        <v>0</v>
      </c>
      <c r="G71" s="29" t="n">
        <f aca="false">G70+F71</f>
        <v>0</v>
      </c>
      <c r="H71" s="26" t="n">
        <f aca="false">C71-G71</f>
        <v>69434.4041666667</v>
      </c>
      <c r="I71" s="19" t="n">
        <f aca="false">IF(C71&gt;0,G71/C71,0)</f>
        <v>0</v>
      </c>
      <c r="J71" s="5" t="str">
        <f aca="false">IF(H71&lt;0,"OVERSPEND",IF(I71&gt;0.9,"HIGH","OK"))</f>
        <v>OK</v>
      </c>
    </row>
    <row r="72" customFormat="false" ht="18" hidden="false" customHeight="true" outlineLevel="0" collapsed="false">
      <c r="A72" s="7" t="s">
        <v>258</v>
      </c>
      <c r="B72" s="29" t="n">
        <f aca="false">'Practice Allocations'!E10</f>
        <v>13886.8808333333</v>
      </c>
      <c r="C72" s="29" t="n">
        <f aca="false">B72*6</f>
        <v>83321.285</v>
      </c>
      <c r="D72" s="56"/>
      <c r="E72" s="56"/>
      <c r="F72" s="29" t="n">
        <f aca="false">D72+E72</f>
        <v>0</v>
      </c>
      <c r="G72" s="29" t="n">
        <f aca="false">G71+F72</f>
        <v>0</v>
      </c>
      <c r="H72" s="26" t="n">
        <f aca="false">C72-G72</f>
        <v>83321.285</v>
      </c>
      <c r="I72" s="19" t="n">
        <f aca="false">IF(C72&gt;0,G72/C72,0)</f>
        <v>0</v>
      </c>
      <c r="J72" s="5" t="str">
        <f aca="false">IF(H72&lt;0,"OVERSPEND",IF(I72&gt;0.9,"HIGH","OK"))</f>
        <v>OK</v>
      </c>
    </row>
    <row r="73" customFormat="false" ht="18" hidden="false" customHeight="true" outlineLevel="0" collapsed="false">
      <c r="A73" s="7" t="s">
        <v>259</v>
      </c>
      <c r="B73" s="29" t="n">
        <f aca="false">'Practice Allocations'!E10</f>
        <v>13886.8808333333</v>
      </c>
      <c r="C73" s="29" t="n">
        <f aca="false">B73*7</f>
        <v>97208.1658333333</v>
      </c>
      <c r="D73" s="56"/>
      <c r="E73" s="56"/>
      <c r="F73" s="29" t="n">
        <f aca="false">D73+E73</f>
        <v>0</v>
      </c>
      <c r="G73" s="29" t="n">
        <f aca="false">G72+F73</f>
        <v>0</v>
      </c>
      <c r="H73" s="26" t="n">
        <f aca="false">C73-G73</f>
        <v>97208.1658333333</v>
      </c>
      <c r="I73" s="19" t="n">
        <f aca="false">IF(C73&gt;0,G73/C73,0)</f>
        <v>0</v>
      </c>
      <c r="J73" s="5" t="str">
        <f aca="false">IF(H73&lt;0,"OVERSPEND",IF(I73&gt;0.9,"HIGH","OK"))</f>
        <v>OK</v>
      </c>
    </row>
    <row r="74" customFormat="false" ht="18" hidden="false" customHeight="true" outlineLevel="0" collapsed="false">
      <c r="A74" s="7" t="s">
        <v>260</v>
      </c>
      <c r="B74" s="29" t="n">
        <f aca="false">'Practice Allocations'!E10</f>
        <v>13886.8808333333</v>
      </c>
      <c r="C74" s="29" t="n">
        <f aca="false">B74*8</f>
        <v>111095.046666667</v>
      </c>
      <c r="D74" s="56"/>
      <c r="E74" s="56"/>
      <c r="F74" s="29" t="n">
        <f aca="false">D74+E74</f>
        <v>0</v>
      </c>
      <c r="G74" s="29" t="n">
        <f aca="false">G73+F74</f>
        <v>0</v>
      </c>
      <c r="H74" s="26" t="n">
        <f aca="false">C74-G74</f>
        <v>111095.046666667</v>
      </c>
      <c r="I74" s="19" t="n">
        <f aca="false">IF(C74&gt;0,G74/C74,0)</f>
        <v>0</v>
      </c>
      <c r="J74" s="5" t="str">
        <f aca="false">IF(H74&lt;0,"OVERSPEND",IF(I74&gt;0.9,"HIGH","OK"))</f>
        <v>OK</v>
      </c>
    </row>
    <row r="75" customFormat="false" ht="18" hidden="false" customHeight="true" outlineLevel="0" collapsed="false">
      <c r="A75" s="7" t="s">
        <v>261</v>
      </c>
      <c r="B75" s="29" t="n">
        <f aca="false">'Practice Allocations'!E10</f>
        <v>13886.8808333333</v>
      </c>
      <c r="C75" s="29" t="n">
        <f aca="false">B75*9</f>
        <v>124981.9275</v>
      </c>
      <c r="D75" s="56"/>
      <c r="E75" s="56"/>
      <c r="F75" s="29" t="n">
        <f aca="false">D75+E75</f>
        <v>0</v>
      </c>
      <c r="G75" s="29" t="n">
        <f aca="false">G74+F75</f>
        <v>0</v>
      </c>
      <c r="H75" s="26" t="n">
        <f aca="false">C75-G75</f>
        <v>124981.9275</v>
      </c>
      <c r="I75" s="19" t="n">
        <f aca="false">IF(C75&gt;0,G75/C75,0)</f>
        <v>0</v>
      </c>
      <c r="J75" s="5" t="str">
        <f aca="false">IF(H75&lt;0,"OVERSPEND",IF(I75&gt;0.9,"HIGH","OK"))</f>
        <v>OK</v>
      </c>
    </row>
    <row r="76" customFormat="false" ht="18" hidden="false" customHeight="true" outlineLevel="0" collapsed="false">
      <c r="A76" s="7" t="s">
        <v>262</v>
      </c>
      <c r="B76" s="29" t="n">
        <f aca="false">'Practice Allocations'!E10</f>
        <v>13886.8808333333</v>
      </c>
      <c r="C76" s="29" t="n">
        <f aca="false">B76*10</f>
        <v>138868.808333333</v>
      </c>
      <c r="D76" s="56"/>
      <c r="E76" s="56"/>
      <c r="F76" s="29" t="n">
        <f aca="false">D76+E76</f>
        <v>0</v>
      </c>
      <c r="G76" s="29" t="n">
        <f aca="false">G75+F76</f>
        <v>0</v>
      </c>
      <c r="H76" s="26" t="n">
        <f aca="false">C76-G76</f>
        <v>138868.808333333</v>
      </c>
      <c r="I76" s="19" t="n">
        <f aca="false">IF(C76&gt;0,G76/C76,0)</f>
        <v>0</v>
      </c>
      <c r="J76" s="5" t="str">
        <f aca="false">IF(H76&lt;0,"OVERSPEND",IF(I76&gt;0.9,"HIGH","OK"))</f>
        <v>OK</v>
      </c>
    </row>
    <row r="77" customFormat="false" ht="18" hidden="false" customHeight="true" outlineLevel="0" collapsed="false">
      <c r="A77" s="7" t="s">
        <v>263</v>
      </c>
      <c r="B77" s="29" t="n">
        <f aca="false">'Practice Allocations'!E10</f>
        <v>13886.8808333333</v>
      </c>
      <c r="C77" s="29" t="n">
        <f aca="false">B77*11</f>
        <v>152755.689166667</v>
      </c>
      <c r="D77" s="56"/>
      <c r="E77" s="56"/>
      <c r="F77" s="29" t="n">
        <f aca="false">D77+E77</f>
        <v>0</v>
      </c>
      <c r="G77" s="29" t="n">
        <f aca="false">G76+F77</f>
        <v>0</v>
      </c>
      <c r="H77" s="26" t="n">
        <f aca="false">C77-G77</f>
        <v>152755.689166667</v>
      </c>
      <c r="I77" s="19" t="n">
        <f aca="false">IF(C77&gt;0,G77/C77,0)</f>
        <v>0</v>
      </c>
      <c r="J77" s="5" t="str">
        <f aca="false">IF(H77&lt;0,"OVERSPEND",IF(I77&gt;0.9,"HIGH","OK"))</f>
        <v>OK</v>
      </c>
    </row>
    <row r="78" customFormat="false" ht="18" hidden="false" customHeight="true" outlineLevel="0" collapsed="false">
      <c r="A78" s="7" t="s">
        <v>264</v>
      </c>
      <c r="B78" s="29" t="n">
        <f aca="false">'Practice Allocations'!E10</f>
        <v>13886.8808333333</v>
      </c>
      <c r="C78" s="29" t="n">
        <f aca="false">B78*12</f>
        <v>166642.57</v>
      </c>
      <c r="D78" s="56"/>
      <c r="E78" s="56"/>
      <c r="F78" s="29" t="n">
        <f aca="false">D78+E78</f>
        <v>0</v>
      </c>
      <c r="G78" s="29" t="n">
        <f aca="false">G77+F78</f>
        <v>0</v>
      </c>
      <c r="H78" s="26" t="n">
        <f aca="false">C78-G78</f>
        <v>166642.57</v>
      </c>
      <c r="I78" s="19" t="n">
        <f aca="false">IF(C78&gt;0,G78/C78,0)</f>
        <v>0</v>
      </c>
      <c r="J78" s="5" t="str">
        <f aca="false">IF(H78&lt;0,"OVERSPEND",IF(I78&gt;0.9,"HIGH","OK"))</f>
        <v>OK</v>
      </c>
    </row>
    <row r="79" customFormat="false" ht="18" hidden="false" customHeight="true" outlineLevel="0" collapsed="false">
      <c r="A79" s="20" t="s">
        <v>383</v>
      </c>
      <c r="B79" s="32" t="n">
        <f aca="false">SUM(B67:B78)</f>
        <v>166642.57</v>
      </c>
      <c r="C79" s="32" t="n">
        <f aca="false">C78</f>
        <v>166642.57</v>
      </c>
      <c r="D79" s="32" t="n">
        <f aca="false">SUM(D67:D78)</f>
        <v>0</v>
      </c>
      <c r="E79" s="32" t="n">
        <f aca="false">SUM(E67:E78)</f>
        <v>0</v>
      </c>
      <c r="F79" s="32" t="n">
        <f aca="false">SUM(F67:F78)</f>
        <v>0</v>
      </c>
      <c r="G79" s="32" t="n">
        <f aca="false">G78</f>
        <v>0</v>
      </c>
      <c r="H79" s="32" t="n">
        <f aca="false">H78</f>
        <v>166642.57</v>
      </c>
      <c r="I79" s="23" t="n">
        <f aca="false">I78</f>
        <v>0</v>
      </c>
      <c r="J79" s="22"/>
    </row>
    <row r="81" customFormat="false" ht="24" hidden="false" customHeight="true" outlineLevel="0" collapsed="false">
      <c r="A81" s="3" t="s">
        <v>384</v>
      </c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8" hidden="false" customHeight="true" outlineLevel="0" collapsed="false">
      <c r="A82" s="5" t="s">
        <v>385</v>
      </c>
      <c r="B82" s="30" t="n">
        <f aca="false">F22</f>
        <v>5249.2726</v>
      </c>
    </row>
    <row r="83" customFormat="false" ht="18" hidden="false" customHeight="true" outlineLevel="0" collapsed="false">
      <c r="A83" s="5" t="s">
        <v>386</v>
      </c>
      <c r="B83" s="30" t="n">
        <f aca="false">F39</f>
        <v>0</v>
      </c>
    </row>
    <row r="84" customFormat="false" ht="18" hidden="false" customHeight="true" outlineLevel="0" collapsed="false">
      <c r="A84" s="5" t="s">
        <v>387</v>
      </c>
      <c r="B84" s="52" t="n">
        <f aca="false">IF(B82&gt;0,B83/B82,0)</f>
        <v>0</v>
      </c>
    </row>
    <row r="85" customFormat="false" ht="18" hidden="false" customHeight="true" outlineLevel="0" collapsed="false">
      <c r="A85" s="5" t="s">
        <v>388</v>
      </c>
      <c r="B85" s="30" t="n">
        <f aca="false">IF(COUNTA(F26:F38)&gt;0,AVERAGE(F26:F38),0)</f>
        <v>0</v>
      </c>
    </row>
    <row r="86" customFormat="false" ht="18" hidden="false" customHeight="true" outlineLevel="0" collapsed="false">
      <c r="A86" s="5" t="s">
        <v>389</v>
      </c>
      <c r="B86" s="30" t="n">
        <f aca="false">C20</f>
        <v>96.2008</v>
      </c>
    </row>
    <row r="87" customFormat="false" ht="18" hidden="false" customHeight="true" outlineLevel="0" collapsed="false">
      <c r="A87" s="5" t="s">
        <v>390</v>
      </c>
      <c r="B87" s="30" t="n">
        <f aca="false">B85-B86</f>
        <v>-96.2008</v>
      </c>
    </row>
    <row r="88" customFormat="false" ht="18" hidden="false" customHeight="true" outlineLevel="0" collapsed="false">
      <c r="A88" s="5" t="s">
        <v>391</v>
      </c>
      <c r="B88" s="52" t="n">
        <f aca="false">IF(F39&gt;0,E39/F39,0)</f>
        <v>0</v>
      </c>
    </row>
    <row r="89" customFormat="false" ht="18" hidden="false" customHeight="true" outlineLevel="0" collapsed="false">
      <c r="A89" s="5" t="s">
        <v>392</v>
      </c>
      <c r="B89" s="30" t="str">
        <f aca="false">IF(B90&gt;=0.5,"YES — Compliant","NO — Below 50%")</f>
        <v>YES — Compliant</v>
      </c>
    </row>
    <row r="90" customFormat="false" ht="18" hidden="false" customHeight="true" outlineLevel="0" collapsed="false">
      <c r="A90" s="5" t="s">
        <v>393</v>
      </c>
      <c r="B90" s="26" t="n">
        <f aca="false">J54</f>
        <v>113854.4</v>
      </c>
    </row>
    <row r="91" customFormat="false" ht="18" hidden="false" customHeight="true" outlineLevel="0" collapsed="false">
      <c r="A91" s="5" t="s">
        <v>394</v>
      </c>
      <c r="B91" s="26" t="n">
        <f aca="false">I63</f>
        <v>0</v>
      </c>
    </row>
    <row r="92" customFormat="false" ht="18" hidden="false" customHeight="true" outlineLevel="0" collapsed="false">
      <c r="A92" s="5" t="s">
        <v>395</v>
      </c>
      <c r="B92" s="26" t="n">
        <f aca="false">B90+B91</f>
        <v>113854.4</v>
      </c>
    </row>
    <row r="93" customFormat="false" ht="18" hidden="false" customHeight="true" outlineLevel="0" collapsed="false">
      <c r="A93" s="5" t="s">
        <v>396</v>
      </c>
      <c r="B93" s="26" t="n">
        <f aca="false">'Practice Allocations'!D10-B94</f>
        <v>166642.57</v>
      </c>
    </row>
    <row r="95" customFormat="false" ht="24" hidden="false" customHeight="true" outlineLevel="0" collapsed="false">
      <c r="A95" s="3" t="s">
        <v>397</v>
      </c>
      <c r="B95" s="3"/>
      <c r="C95" s="3"/>
      <c r="D95" s="3"/>
      <c r="E95" s="3"/>
      <c r="F95" s="3"/>
      <c r="G95" s="3"/>
      <c r="H95" s="3"/>
      <c r="I95" s="3"/>
      <c r="J95" s="3"/>
    </row>
    <row r="96" customFormat="false" ht="30" hidden="false" customHeight="true" outlineLevel="0" collapsed="false">
      <c r="A96" s="4" t="s">
        <v>398</v>
      </c>
      <c r="B96" s="4" t="s">
        <v>208</v>
      </c>
      <c r="C96" s="4" t="s">
        <v>399</v>
      </c>
      <c r="D96" s="4" t="s">
        <v>400</v>
      </c>
      <c r="E96" s="4" t="s">
        <v>401</v>
      </c>
      <c r="F96" s="4" t="s">
        <v>205</v>
      </c>
      <c r="G96" s="4" t="s">
        <v>402</v>
      </c>
      <c r="H96" s="4"/>
      <c r="I96" s="4"/>
      <c r="J96" s="4"/>
    </row>
    <row r="97" customFormat="false" ht="18" hidden="false" customHeight="true" outlineLevel="0" collapsed="false">
      <c r="A97" s="81" t="s">
        <v>425</v>
      </c>
      <c r="B97" s="11" t="s">
        <v>426</v>
      </c>
      <c r="C97" s="81" t="s">
        <v>427</v>
      </c>
      <c r="D97" s="82"/>
      <c r="E97" s="63"/>
      <c r="F97" s="54" t="s">
        <v>428</v>
      </c>
      <c r="G97" s="63"/>
      <c r="H97" s="7"/>
      <c r="I97" s="7"/>
      <c r="J97" s="7"/>
    </row>
    <row r="98" customFormat="false" ht="18" hidden="false" customHeight="true" outlineLevel="0" collapsed="false">
      <c r="A98" s="63"/>
      <c r="B98" s="63"/>
      <c r="C98" s="63"/>
      <c r="D98" s="56"/>
      <c r="E98" s="63"/>
      <c r="F98" s="63"/>
      <c r="G98" s="63"/>
      <c r="H98" s="49"/>
      <c r="I98" s="49"/>
      <c r="J98" s="49"/>
    </row>
    <row r="99" customFormat="false" ht="18" hidden="false" customHeight="true" outlineLevel="0" collapsed="false">
      <c r="A99" s="63"/>
      <c r="B99" s="63"/>
      <c r="C99" s="63"/>
      <c r="D99" s="56"/>
      <c r="E99" s="63"/>
      <c r="F99" s="63"/>
      <c r="G99" s="63"/>
      <c r="H99" s="7"/>
      <c r="I99" s="7"/>
      <c r="J99" s="7"/>
    </row>
    <row r="100" customFormat="false" ht="18" hidden="false" customHeight="true" outlineLevel="0" collapsed="false">
      <c r="A100" s="63"/>
      <c r="B100" s="63"/>
      <c r="C100" s="63"/>
      <c r="D100" s="56"/>
      <c r="E100" s="63"/>
      <c r="F100" s="63"/>
      <c r="G100" s="63"/>
      <c r="H100" s="49"/>
      <c r="I100" s="49"/>
      <c r="J100" s="49"/>
    </row>
    <row r="101" customFormat="false" ht="18" hidden="false" customHeight="true" outlineLevel="0" collapsed="false">
      <c r="A101" s="63"/>
      <c r="B101" s="63"/>
      <c r="C101" s="63"/>
      <c r="D101" s="56"/>
      <c r="E101" s="63"/>
      <c r="F101" s="63"/>
      <c r="G101" s="63"/>
      <c r="H101" s="7"/>
      <c r="I101" s="7"/>
      <c r="J101" s="7"/>
    </row>
    <row r="103" customFormat="false" ht="24" hidden="false" customHeight="true" outlineLevel="0" collapsed="false">
      <c r="A103" s="3" t="s">
        <v>403</v>
      </c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30" hidden="false" customHeight="true" outlineLevel="0" collapsed="false">
      <c r="A104" s="4" t="s">
        <v>336</v>
      </c>
      <c r="B104" s="4" t="s">
        <v>404</v>
      </c>
      <c r="C104" s="4" t="s">
        <v>405</v>
      </c>
      <c r="D104" s="4" t="s">
        <v>205</v>
      </c>
      <c r="E104" s="4" t="s">
        <v>406</v>
      </c>
      <c r="F104" s="4"/>
      <c r="G104" s="4"/>
      <c r="H104" s="4"/>
      <c r="I104" s="4"/>
      <c r="J104" s="4"/>
    </row>
    <row r="105" customFormat="false" ht="18" hidden="false" customHeight="true" outlineLevel="0" collapsed="false">
      <c r="A105" s="80" t="s">
        <v>411</v>
      </c>
      <c r="B105" s="11" t="s">
        <v>429</v>
      </c>
      <c r="C105" s="81" t="s">
        <v>430</v>
      </c>
      <c r="D105" s="54" t="s">
        <v>431</v>
      </c>
      <c r="E105" s="80"/>
      <c r="F105" s="7"/>
      <c r="G105" s="7"/>
      <c r="H105" s="7"/>
      <c r="I105" s="7"/>
      <c r="J105" s="7"/>
    </row>
    <row r="106" customFormat="false" ht="18" hidden="false" customHeight="true" outlineLevel="0" collapsed="false">
      <c r="A106" s="80" t="s">
        <v>411</v>
      </c>
      <c r="B106" s="81" t="s">
        <v>432</v>
      </c>
      <c r="C106" s="81" t="s">
        <v>430</v>
      </c>
      <c r="D106" s="54" t="s">
        <v>416</v>
      </c>
      <c r="E106" s="78"/>
      <c r="F106" s="49"/>
      <c r="G106" s="49"/>
      <c r="H106" s="49"/>
      <c r="I106" s="49"/>
      <c r="J106" s="49"/>
    </row>
    <row r="107" customFormat="false" ht="18" hidden="false" customHeight="true" outlineLevel="0" collapsed="false">
      <c r="A107" s="80" t="s">
        <v>411</v>
      </c>
      <c r="B107" s="81" t="s">
        <v>433</v>
      </c>
      <c r="C107" s="81" t="s">
        <v>413</v>
      </c>
      <c r="D107" s="54" t="s">
        <v>416</v>
      </c>
      <c r="E107" s="78"/>
      <c r="F107" s="7"/>
      <c r="G107" s="7"/>
      <c r="H107" s="7"/>
      <c r="I107" s="7"/>
      <c r="J107" s="7"/>
    </row>
    <row r="108" customFormat="false" ht="18" hidden="false" customHeight="true" outlineLevel="0" collapsed="false">
      <c r="A108" s="78"/>
      <c r="B108" s="63"/>
      <c r="C108" s="63"/>
      <c r="D108" s="63"/>
      <c r="E108" s="78"/>
      <c r="F108" s="49"/>
      <c r="G108" s="49"/>
      <c r="H108" s="49"/>
      <c r="I108" s="49"/>
      <c r="J108" s="49"/>
    </row>
    <row r="109" customFormat="false" ht="18" hidden="false" customHeight="true" outlineLevel="0" collapsed="false">
      <c r="A109" s="78"/>
      <c r="B109" s="63"/>
      <c r="C109" s="63"/>
      <c r="D109" s="63"/>
      <c r="E109" s="78"/>
      <c r="F109" s="7"/>
      <c r="G109" s="7"/>
      <c r="H109" s="7"/>
      <c r="I109" s="7"/>
      <c r="J109" s="7"/>
    </row>
    <row r="110" customFormat="false" ht="18" hidden="false" customHeight="true" outlineLevel="0" collapsed="false">
      <c r="A110" s="78"/>
      <c r="B110" s="63"/>
      <c r="C110" s="63"/>
      <c r="D110" s="63"/>
      <c r="E110" s="78"/>
      <c r="F110" s="49"/>
      <c r="G110" s="49"/>
      <c r="H110" s="49"/>
      <c r="I110" s="49"/>
      <c r="J110" s="49"/>
    </row>
    <row r="111" customFormat="false" ht="18" hidden="false" customHeight="true" outlineLevel="0" collapsed="false">
      <c r="A111" s="78"/>
      <c r="B111" s="63"/>
      <c r="C111" s="63"/>
      <c r="D111" s="63"/>
      <c r="E111" s="78"/>
      <c r="F111" s="7"/>
      <c r="G111" s="7"/>
      <c r="H111" s="7"/>
      <c r="I111" s="7"/>
      <c r="J111" s="7"/>
    </row>
    <row r="112" customFormat="false" ht="18" hidden="false" customHeight="true" outlineLevel="0" collapsed="false">
      <c r="A112" s="78"/>
      <c r="B112" s="63"/>
      <c r="C112" s="63"/>
      <c r="D112" s="63"/>
      <c r="E112" s="78"/>
      <c r="F112" s="49"/>
      <c r="G112" s="49"/>
      <c r="H112" s="49"/>
      <c r="I112" s="49"/>
      <c r="J112" s="49"/>
    </row>
    <row r="113" customFormat="false" ht="18" hidden="false" customHeight="true" outlineLevel="0" collapsed="false">
      <c r="A113" s="78"/>
      <c r="B113" s="63"/>
      <c r="C113" s="63"/>
      <c r="D113" s="63"/>
      <c r="E113" s="78"/>
      <c r="F113" s="7"/>
      <c r="G113" s="7"/>
      <c r="H113" s="7"/>
      <c r="I113" s="7"/>
      <c r="J113" s="7"/>
    </row>
    <row r="114" customFormat="false" ht="18" hidden="false" customHeight="true" outlineLevel="0" collapsed="false">
      <c r="A114" s="78"/>
      <c r="B114" s="63"/>
      <c r="C114" s="63"/>
      <c r="D114" s="63"/>
      <c r="E114" s="78"/>
      <c r="F114" s="49"/>
      <c r="G114" s="49"/>
      <c r="H114" s="49"/>
      <c r="I114" s="49"/>
      <c r="J114" s="49"/>
    </row>
  </sheetData>
  <mergeCells count="12">
    <mergeCell ref="A1:J1"/>
    <mergeCell ref="A2:J2"/>
    <mergeCell ref="A4:J4"/>
    <mergeCell ref="A11:J11"/>
    <mergeCell ref="A18:J18"/>
    <mergeCell ref="A24:J24"/>
    <mergeCell ref="A42:J42"/>
    <mergeCell ref="A56:J56"/>
    <mergeCell ref="A65:J65"/>
    <mergeCell ref="A81:J81"/>
    <mergeCell ref="A95:J95"/>
    <mergeCell ref="A103:J103"/>
  </mergeCells>
  <dataValidations count="4">
    <dataValidation allowBlank="true" errorStyle="stop" operator="between" showDropDown="false" showErrorMessage="false" showInputMessage="false" sqref="C44:C53" type="list">
      <formula1>"New SDA,Buy-Back,Existing (Buy-Back Pending)"</formula1>
      <formula2>0</formula2>
    </dataValidation>
    <dataValidation allowBlank="true" errorStyle="stop" operator="between" showDropDown="false" showErrorMessage="false" showInputMessage="false" sqref="J58:J62" type="list">
      <formula1>"Draft,Submitted,Under Review,Approved,Rejected"</formula1>
      <formula2>0</formula2>
    </dataValidation>
    <dataValidation allowBlank="true" errorStyle="stop" operator="between" showDropDown="false" showErrorMessage="false" showInputMessage="false" sqref="F97:F101" type="list">
      <formula1>"Planned,Recruiting,In Post,Delayed,Not Started"</formula1>
      <formula2>0</formula2>
    </dataValidation>
    <dataValidation allowBlank="true" errorStyle="stop" operator="between" showDropDown="false" showErrorMessage="false" showInputMessage="false" sqref="D105:D114" type="list">
      <formula1>"Open,In Progress,Complete,On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6"/>
  </cols>
  <sheetData>
    <row r="1" customFormat="false" ht="27.75" hidden="false" customHeight="true" outlineLevel="0" collapsed="false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60" t="s">
        <v>435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customFormat="false" ht="30" hidden="false" customHeight="true" outlineLevel="0" collapsed="false">
      <c r="A3" s="4" t="s">
        <v>273</v>
      </c>
      <c r="B3" s="4" t="s">
        <v>274</v>
      </c>
      <c r="C3" s="4" t="s">
        <v>436</v>
      </c>
      <c r="D3" s="4" t="s">
        <v>437</v>
      </c>
      <c r="E3" s="4" t="s">
        <v>438</v>
      </c>
      <c r="F3" s="4" t="s">
        <v>439</v>
      </c>
      <c r="G3" s="4" t="s">
        <v>440</v>
      </c>
      <c r="H3" s="4" t="s">
        <v>441</v>
      </c>
      <c r="I3" s="4" t="s">
        <v>442</v>
      </c>
      <c r="J3" s="4" t="s">
        <v>443</v>
      </c>
      <c r="K3" s="4" t="s">
        <v>444</v>
      </c>
      <c r="L3" s="4" t="s">
        <v>445</v>
      </c>
    </row>
    <row r="4" customFormat="false" ht="15" hidden="false" customHeight="false" outlineLevel="0" collapsed="false">
      <c r="A4" s="18" t="n">
        <v>1</v>
      </c>
      <c r="B4" s="58" t="s">
        <v>278</v>
      </c>
      <c r="C4" s="55"/>
      <c r="D4" s="55"/>
      <c r="E4" s="55"/>
      <c r="F4" s="55"/>
      <c r="G4" s="55"/>
      <c r="H4" s="55"/>
      <c r="I4" s="55"/>
      <c r="J4" s="51" t="n">
        <f aca="false">SUM(C4:I4)</f>
        <v>0</v>
      </c>
      <c r="K4" s="18" t="n">
        <f aca="false">'Compliance Tracker'!J4</f>
        <v>0</v>
      </c>
      <c r="L4" s="52" t="n">
        <f aca="false">IF(K4&gt;0,J4/K4,0)</f>
        <v>0</v>
      </c>
    </row>
    <row r="5" customFormat="false" ht="15" hidden="false" customHeight="false" outlineLevel="0" collapsed="false">
      <c r="A5" s="18" t="n">
        <v>2</v>
      </c>
      <c r="B5" s="58" t="s">
        <v>278</v>
      </c>
      <c r="C5" s="55"/>
      <c r="D5" s="55"/>
      <c r="E5" s="55"/>
      <c r="F5" s="55"/>
      <c r="G5" s="55"/>
      <c r="H5" s="55"/>
      <c r="I5" s="55"/>
      <c r="J5" s="51" t="n">
        <f aca="false">SUM(C5:I5)</f>
        <v>0</v>
      </c>
      <c r="K5" s="18" t="n">
        <f aca="false">'Compliance Tracker'!J5</f>
        <v>0</v>
      </c>
      <c r="L5" s="52" t="n">
        <f aca="false">IF(K5&gt;0,J5/K5,0)</f>
        <v>0</v>
      </c>
    </row>
    <row r="6" customFormat="false" ht="15" hidden="false" customHeight="false" outlineLevel="0" collapsed="false">
      <c r="A6" s="18" t="n">
        <v>3</v>
      </c>
      <c r="B6" s="58" t="s">
        <v>278</v>
      </c>
      <c r="C6" s="55"/>
      <c r="D6" s="55"/>
      <c r="E6" s="55"/>
      <c r="F6" s="55"/>
      <c r="G6" s="55"/>
      <c r="H6" s="55"/>
      <c r="I6" s="55"/>
      <c r="J6" s="51" t="n">
        <f aca="false">SUM(C6:I6)</f>
        <v>0</v>
      </c>
      <c r="K6" s="18" t="n">
        <f aca="false">'Compliance Tracker'!J6</f>
        <v>0</v>
      </c>
      <c r="L6" s="52" t="n">
        <f aca="false">IF(K6&gt;0,J6/K6,0)</f>
        <v>0</v>
      </c>
    </row>
    <row r="7" customFormat="false" ht="15" hidden="false" customHeight="false" outlineLevel="0" collapsed="false">
      <c r="A7" s="18" t="n">
        <v>4</v>
      </c>
      <c r="B7" s="58" t="s">
        <v>278</v>
      </c>
      <c r="C7" s="55"/>
      <c r="D7" s="55"/>
      <c r="E7" s="55"/>
      <c r="F7" s="55"/>
      <c r="G7" s="55"/>
      <c r="H7" s="55"/>
      <c r="I7" s="55"/>
      <c r="J7" s="51" t="n">
        <f aca="false">SUM(C7:I7)</f>
        <v>0</v>
      </c>
      <c r="K7" s="18" t="n">
        <f aca="false">'Compliance Tracker'!J7</f>
        <v>0</v>
      </c>
      <c r="L7" s="52" t="n">
        <f aca="false">IF(K7&gt;0,J7/K7,0)</f>
        <v>0</v>
      </c>
    </row>
    <row r="8" customFormat="false" ht="15" hidden="false" customHeight="false" outlineLevel="0" collapsed="false">
      <c r="A8" s="18" t="n">
        <v>5</v>
      </c>
      <c r="B8" s="58" t="s">
        <v>278</v>
      </c>
      <c r="C8" s="55"/>
      <c r="D8" s="55"/>
      <c r="E8" s="55"/>
      <c r="F8" s="55"/>
      <c r="G8" s="55"/>
      <c r="H8" s="55"/>
      <c r="I8" s="55"/>
      <c r="J8" s="51" t="n">
        <f aca="false">SUM(C8:I8)</f>
        <v>0</v>
      </c>
      <c r="K8" s="18" t="n">
        <f aca="false">'Compliance Tracker'!J8</f>
        <v>0</v>
      </c>
      <c r="L8" s="52" t="n">
        <f aca="false">IF(K8&gt;0,J8/K8,0)</f>
        <v>0</v>
      </c>
    </row>
    <row r="9" customFormat="false" ht="15" hidden="false" customHeight="false" outlineLevel="0" collapsed="false">
      <c r="A9" s="18" t="n">
        <v>6</v>
      </c>
      <c r="B9" s="58" t="s">
        <v>278</v>
      </c>
      <c r="C9" s="55"/>
      <c r="D9" s="55"/>
      <c r="E9" s="55"/>
      <c r="F9" s="55"/>
      <c r="G9" s="55"/>
      <c r="H9" s="55"/>
      <c r="I9" s="55"/>
      <c r="J9" s="51" t="n">
        <f aca="false">SUM(C9:I9)</f>
        <v>0</v>
      </c>
      <c r="K9" s="18" t="n">
        <f aca="false">'Compliance Tracker'!J9</f>
        <v>0</v>
      </c>
      <c r="L9" s="52" t="n">
        <f aca="false">IF(K9&gt;0,J9/K9,0)</f>
        <v>0</v>
      </c>
    </row>
    <row r="10" customFormat="false" ht="15" hidden="false" customHeight="false" outlineLevel="0" collapsed="false">
      <c r="A10" s="18" t="n">
        <v>7</v>
      </c>
      <c r="B10" s="58" t="s">
        <v>278</v>
      </c>
      <c r="C10" s="55"/>
      <c r="D10" s="55"/>
      <c r="E10" s="55"/>
      <c r="F10" s="55"/>
      <c r="G10" s="55"/>
      <c r="H10" s="55"/>
      <c r="I10" s="55"/>
      <c r="J10" s="51" t="n">
        <f aca="false">SUM(C10:I10)</f>
        <v>0</v>
      </c>
      <c r="K10" s="18" t="n">
        <f aca="false">'Compliance Tracker'!J10</f>
        <v>0</v>
      </c>
      <c r="L10" s="52" t="n">
        <f aca="false">IF(K10&gt;0,J10/K10,0)</f>
        <v>0</v>
      </c>
    </row>
    <row r="11" customFormat="false" ht="15" hidden="false" customHeight="false" outlineLevel="0" collapsed="false">
      <c r="A11" s="18" t="n">
        <v>8</v>
      </c>
      <c r="B11" s="58" t="s">
        <v>278</v>
      </c>
      <c r="C11" s="55"/>
      <c r="D11" s="55"/>
      <c r="E11" s="55"/>
      <c r="F11" s="55"/>
      <c r="G11" s="55"/>
      <c r="H11" s="55"/>
      <c r="I11" s="55"/>
      <c r="J11" s="51" t="n">
        <f aca="false">SUM(C11:I11)</f>
        <v>0</v>
      </c>
      <c r="K11" s="18" t="n">
        <f aca="false">'Compliance Tracker'!J11</f>
        <v>0</v>
      </c>
      <c r="L11" s="52" t="n">
        <f aca="false">IF(K11&gt;0,J11/K11,0)</f>
        <v>0</v>
      </c>
    </row>
    <row r="12" customFormat="false" ht="15" hidden="false" customHeight="false" outlineLevel="0" collapsed="false">
      <c r="A12" s="18" t="n">
        <v>9</v>
      </c>
      <c r="B12" s="58" t="s">
        <v>278</v>
      </c>
      <c r="C12" s="55"/>
      <c r="D12" s="55"/>
      <c r="E12" s="55"/>
      <c r="F12" s="55"/>
      <c r="G12" s="55"/>
      <c r="H12" s="55"/>
      <c r="I12" s="55"/>
      <c r="J12" s="51" t="n">
        <f aca="false">SUM(C12:I12)</f>
        <v>0</v>
      </c>
      <c r="K12" s="18" t="n">
        <f aca="false">'Compliance Tracker'!J12</f>
        <v>0</v>
      </c>
      <c r="L12" s="52" t="n">
        <f aca="false">IF(K12&gt;0,J12/K12,0)</f>
        <v>0</v>
      </c>
    </row>
    <row r="13" customFormat="false" ht="15" hidden="false" customHeight="false" outlineLevel="0" collapsed="false">
      <c r="A13" s="18" t="n">
        <v>10</v>
      </c>
      <c r="B13" s="58" t="s">
        <v>278</v>
      </c>
      <c r="C13" s="55"/>
      <c r="D13" s="55"/>
      <c r="E13" s="55"/>
      <c r="F13" s="55"/>
      <c r="G13" s="55"/>
      <c r="H13" s="55"/>
      <c r="I13" s="55"/>
      <c r="J13" s="51" t="n">
        <f aca="false">SUM(C13:I13)</f>
        <v>0</v>
      </c>
      <c r="K13" s="18" t="n">
        <f aca="false">'Compliance Tracker'!J13</f>
        <v>0</v>
      </c>
      <c r="L13" s="52" t="n">
        <f aca="false">IF(K13&gt;0,J13/K13,0)</f>
        <v>0</v>
      </c>
    </row>
    <row r="14" customFormat="false" ht="15" hidden="false" customHeight="false" outlineLevel="0" collapsed="false">
      <c r="A14" s="18" t="n">
        <v>11</v>
      </c>
      <c r="B14" s="58" t="s">
        <v>278</v>
      </c>
      <c r="C14" s="55"/>
      <c r="D14" s="55"/>
      <c r="E14" s="55"/>
      <c r="F14" s="55"/>
      <c r="G14" s="55"/>
      <c r="H14" s="55"/>
      <c r="I14" s="55"/>
      <c r="J14" s="51" t="n">
        <f aca="false">SUM(C14:I14)</f>
        <v>0</v>
      </c>
      <c r="K14" s="18" t="n">
        <f aca="false">'Compliance Tracker'!J14</f>
        <v>0</v>
      </c>
      <c r="L14" s="52" t="n">
        <f aca="false">IF(K14&gt;0,J14/K14,0)</f>
        <v>0</v>
      </c>
    </row>
    <row r="15" customFormat="false" ht="15" hidden="false" customHeight="false" outlineLevel="0" collapsed="false">
      <c r="A15" s="18" t="n">
        <v>12</v>
      </c>
      <c r="B15" s="58" t="s">
        <v>278</v>
      </c>
      <c r="C15" s="55"/>
      <c r="D15" s="55"/>
      <c r="E15" s="55"/>
      <c r="F15" s="55"/>
      <c r="G15" s="55"/>
      <c r="H15" s="55"/>
      <c r="I15" s="55"/>
      <c r="J15" s="51" t="n">
        <f aca="false">SUM(C15:I15)</f>
        <v>0</v>
      </c>
      <c r="K15" s="18" t="n">
        <f aca="false">'Compliance Tracker'!J15</f>
        <v>0</v>
      </c>
      <c r="L15" s="52" t="n">
        <f aca="false">IF(K15&gt;0,J15/K15,0)</f>
        <v>0</v>
      </c>
    </row>
    <row r="16" customFormat="false" ht="15" hidden="false" customHeight="false" outlineLevel="0" collapsed="false">
      <c r="A16" s="18" t="n">
        <v>13</v>
      </c>
      <c r="B16" s="61" t="s">
        <v>170</v>
      </c>
      <c r="C16" s="55"/>
      <c r="D16" s="55"/>
      <c r="E16" s="55"/>
      <c r="F16" s="55"/>
      <c r="G16" s="55"/>
      <c r="H16" s="55"/>
      <c r="I16" s="55"/>
      <c r="J16" s="51" t="n">
        <f aca="false">SUM(C16:I16)</f>
        <v>0</v>
      </c>
      <c r="K16" s="18" t="n">
        <f aca="false">'Compliance Tracker'!J16</f>
        <v>0</v>
      </c>
      <c r="L16" s="52" t="n">
        <f aca="false">IF(K16&gt;0,J16/K16,0)</f>
        <v>0</v>
      </c>
    </row>
    <row r="17" customFormat="false" ht="15" hidden="false" customHeight="false" outlineLevel="0" collapsed="false">
      <c r="A17" s="18" t="n">
        <v>14</v>
      </c>
      <c r="B17" s="61" t="s">
        <v>170</v>
      </c>
      <c r="C17" s="55"/>
      <c r="D17" s="55"/>
      <c r="E17" s="55"/>
      <c r="F17" s="55"/>
      <c r="G17" s="55"/>
      <c r="H17" s="55"/>
      <c r="I17" s="55"/>
      <c r="J17" s="51" t="n">
        <f aca="false">SUM(C17:I17)</f>
        <v>0</v>
      </c>
      <c r="K17" s="18" t="n">
        <f aca="false">'Compliance Tracker'!J17</f>
        <v>0</v>
      </c>
      <c r="L17" s="52" t="n">
        <f aca="false">IF(K17&gt;0,J17/K17,0)</f>
        <v>0</v>
      </c>
    </row>
    <row r="18" customFormat="false" ht="15" hidden="false" customHeight="false" outlineLevel="0" collapsed="false">
      <c r="A18" s="18" t="n">
        <v>15</v>
      </c>
      <c r="B18" s="61" t="s">
        <v>170</v>
      </c>
      <c r="C18" s="55"/>
      <c r="D18" s="55"/>
      <c r="E18" s="55"/>
      <c r="F18" s="55"/>
      <c r="G18" s="55"/>
      <c r="H18" s="55"/>
      <c r="I18" s="55"/>
      <c r="J18" s="51" t="n">
        <f aca="false">SUM(C18:I18)</f>
        <v>0</v>
      </c>
      <c r="K18" s="18" t="n">
        <f aca="false">'Compliance Tracker'!J18</f>
        <v>0</v>
      </c>
      <c r="L18" s="52" t="n">
        <f aca="false">IF(K18&gt;0,J18/K18,0)</f>
        <v>0</v>
      </c>
    </row>
    <row r="19" customFormat="false" ht="15" hidden="false" customHeight="false" outlineLevel="0" collapsed="false">
      <c r="A19" s="18" t="n">
        <v>16</v>
      </c>
      <c r="B19" s="61" t="s">
        <v>170</v>
      </c>
      <c r="C19" s="55"/>
      <c r="D19" s="55"/>
      <c r="E19" s="55"/>
      <c r="F19" s="55"/>
      <c r="G19" s="55"/>
      <c r="H19" s="55"/>
      <c r="I19" s="55"/>
      <c r="J19" s="51" t="n">
        <f aca="false">SUM(C19:I19)</f>
        <v>0</v>
      </c>
      <c r="K19" s="18" t="n">
        <f aca="false">'Compliance Tracker'!J19</f>
        <v>0</v>
      </c>
      <c r="L19" s="52" t="n">
        <f aca="false">IF(K19&gt;0,J19/K19,0)</f>
        <v>0</v>
      </c>
    </row>
    <row r="20" customFormat="false" ht="15" hidden="false" customHeight="false" outlineLevel="0" collapsed="false">
      <c r="A20" s="18" t="n">
        <v>17</v>
      </c>
      <c r="B20" s="61" t="s">
        <v>170</v>
      </c>
      <c r="C20" s="55"/>
      <c r="D20" s="55"/>
      <c r="E20" s="55"/>
      <c r="F20" s="55"/>
      <c r="G20" s="55"/>
      <c r="H20" s="55"/>
      <c r="I20" s="55"/>
      <c r="J20" s="51" t="n">
        <f aca="false">SUM(C20:I20)</f>
        <v>0</v>
      </c>
      <c r="K20" s="18" t="n">
        <f aca="false">'Compliance Tracker'!J20</f>
        <v>0</v>
      </c>
      <c r="L20" s="52" t="n">
        <f aca="false">IF(K20&gt;0,J20/K20,0)</f>
        <v>0</v>
      </c>
    </row>
    <row r="21" customFormat="false" ht="15" hidden="false" customHeight="false" outlineLevel="0" collapsed="false">
      <c r="A21" s="18" t="n">
        <v>18</v>
      </c>
      <c r="B21" s="61" t="s">
        <v>170</v>
      </c>
      <c r="C21" s="55"/>
      <c r="D21" s="55"/>
      <c r="E21" s="55"/>
      <c r="F21" s="55"/>
      <c r="G21" s="55"/>
      <c r="H21" s="55"/>
      <c r="I21" s="55"/>
      <c r="J21" s="51" t="n">
        <f aca="false">SUM(C21:I21)</f>
        <v>0</v>
      </c>
      <c r="K21" s="18" t="n">
        <f aca="false">'Compliance Tracker'!J21</f>
        <v>0</v>
      </c>
      <c r="L21" s="52" t="n">
        <f aca="false">IF(K21&gt;0,J21/K21,0)</f>
        <v>0</v>
      </c>
    </row>
    <row r="22" customFormat="false" ht="15" hidden="false" customHeight="false" outlineLevel="0" collapsed="false">
      <c r="A22" s="18" t="n">
        <v>19</v>
      </c>
      <c r="B22" s="61" t="s">
        <v>170</v>
      </c>
      <c r="C22" s="55"/>
      <c r="D22" s="55"/>
      <c r="E22" s="55"/>
      <c r="F22" s="55"/>
      <c r="G22" s="55"/>
      <c r="H22" s="55"/>
      <c r="I22" s="55"/>
      <c r="J22" s="51" t="n">
        <f aca="false">SUM(C22:I22)</f>
        <v>0</v>
      </c>
      <c r="K22" s="18" t="n">
        <f aca="false">'Compliance Tracker'!J22</f>
        <v>0</v>
      </c>
      <c r="L22" s="52" t="n">
        <f aca="false">IF(K22&gt;0,J22/K22,0)</f>
        <v>0</v>
      </c>
    </row>
    <row r="23" customFormat="false" ht="15" hidden="false" customHeight="false" outlineLevel="0" collapsed="false">
      <c r="A23" s="18" t="n">
        <v>20</v>
      </c>
      <c r="B23" s="61" t="s">
        <v>170</v>
      </c>
      <c r="C23" s="55"/>
      <c r="D23" s="55"/>
      <c r="E23" s="55"/>
      <c r="F23" s="55"/>
      <c r="G23" s="55"/>
      <c r="H23" s="55"/>
      <c r="I23" s="55"/>
      <c r="J23" s="51" t="n">
        <f aca="false">SUM(C23:I23)</f>
        <v>0</v>
      </c>
      <c r="K23" s="18" t="n">
        <f aca="false">'Compliance Tracker'!J23</f>
        <v>0</v>
      </c>
      <c r="L23" s="52" t="n">
        <f aca="false">IF(K23&gt;0,J23/K23,0)</f>
        <v>0</v>
      </c>
    </row>
    <row r="24" customFormat="false" ht="15" hidden="false" customHeight="false" outlineLevel="0" collapsed="false">
      <c r="A24" s="18" t="n">
        <v>21</v>
      </c>
      <c r="B24" s="61" t="s">
        <v>170</v>
      </c>
      <c r="C24" s="55"/>
      <c r="D24" s="55"/>
      <c r="E24" s="55"/>
      <c r="F24" s="55"/>
      <c r="G24" s="55"/>
      <c r="H24" s="55"/>
      <c r="I24" s="55"/>
      <c r="J24" s="51" t="n">
        <f aca="false">SUM(C24:I24)</f>
        <v>0</v>
      </c>
      <c r="K24" s="18" t="n">
        <f aca="false">'Compliance Tracker'!J24</f>
        <v>0</v>
      </c>
      <c r="L24" s="52" t="n">
        <f aca="false">IF(K24&gt;0,J24/K24,0)</f>
        <v>0</v>
      </c>
    </row>
    <row r="25" customFormat="false" ht="15" hidden="false" customHeight="false" outlineLevel="0" collapsed="false">
      <c r="A25" s="18" t="n">
        <v>22</v>
      </c>
      <c r="B25" s="61" t="s">
        <v>170</v>
      </c>
      <c r="C25" s="55"/>
      <c r="D25" s="55"/>
      <c r="E25" s="55"/>
      <c r="F25" s="55"/>
      <c r="G25" s="55"/>
      <c r="H25" s="55"/>
      <c r="I25" s="55"/>
      <c r="J25" s="51" t="n">
        <f aca="false">SUM(C25:I25)</f>
        <v>0</v>
      </c>
      <c r="K25" s="18" t="n">
        <f aca="false">'Compliance Tracker'!J25</f>
        <v>0</v>
      </c>
      <c r="L25" s="52" t="n">
        <f aca="false">IF(K25&gt;0,J25/K25,0)</f>
        <v>0</v>
      </c>
    </row>
    <row r="26" customFormat="false" ht="15" hidden="false" customHeight="false" outlineLevel="0" collapsed="false">
      <c r="A26" s="18" t="n">
        <v>23</v>
      </c>
      <c r="B26" s="61" t="s">
        <v>170</v>
      </c>
      <c r="C26" s="55"/>
      <c r="D26" s="55"/>
      <c r="E26" s="55"/>
      <c r="F26" s="55"/>
      <c r="G26" s="55"/>
      <c r="H26" s="55"/>
      <c r="I26" s="55"/>
      <c r="J26" s="51" t="n">
        <f aca="false">SUM(C26:I26)</f>
        <v>0</v>
      </c>
      <c r="K26" s="18" t="n">
        <f aca="false">'Compliance Tracker'!J26</f>
        <v>0</v>
      </c>
      <c r="L26" s="52" t="n">
        <f aca="false">IF(K26&gt;0,J26/K26,0)</f>
        <v>0</v>
      </c>
    </row>
    <row r="27" customFormat="false" ht="15" hidden="false" customHeight="false" outlineLevel="0" collapsed="false">
      <c r="A27" s="18" t="n">
        <v>24</v>
      </c>
      <c r="B27" s="61" t="s">
        <v>170</v>
      </c>
      <c r="C27" s="55"/>
      <c r="D27" s="55"/>
      <c r="E27" s="55"/>
      <c r="F27" s="55"/>
      <c r="G27" s="55"/>
      <c r="H27" s="55"/>
      <c r="I27" s="55"/>
      <c r="J27" s="51" t="n">
        <f aca="false">SUM(C27:I27)</f>
        <v>0</v>
      </c>
      <c r="K27" s="18" t="n">
        <f aca="false">'Compliance Tracker'!J27</f>
        <v>0</v>
      </c>
      <c r="L27" s="52" t="n">
        <f aca="false">IF(K27&gt;0,J27/K27,0)</f>
        <v>0</v>
      </c>
    </row>
    <row r="28" customFormat="false" ht="15" hidden="false" customHeight="false" outlineLevel="0" collapsed="false">
      <c r="A28" s="18" t="n">
        <v>25</v>
      </c>
      <c r="B28" s="61" t="s">
        <v>170</v>
      </c>
      <c r="C28" s="55"/>
      <c r="D28" s="55"/>
      <c r="E28" s="55"/>
      <c r="F28" s="55"/>
      <c r="G28" s="55"/>
      <c r="H28" s="55"/>
      <c r="I28" s="55"/>
      <c r="J28" s="51" t="n">
        <f aca="false">SUM(C28:I28)</f>
        <v>0</v>
      </c>
      <c r="K28" s="18" t="n">
        <f aca="false">'Compliance Tracker'!J28</f>
        <v>0</v>
      </c>
      <c r="L28" s="52" t="n">
        <f aca="false">IF(K28&gt;0,J28/K28,0)</f>
        <v>0</v>
      </c>
    </row>
    <row r="29" customFormat="false" ht="15" hidden="false" customHeight="false" outlineLevel="0" collapsed="false">
      <c r="A29" s="18" t="n">
        <v>26</v>
      </c>
      <c r="B29" s="61" t="s">
        <v>170</v>
      </c>
      <c r="C29" s="55"/>
      <c r="D29" s="55"/>
      <c r="E29" s="55"/>
      <c r="F29" s="55"/>
      <c r="G29" s="55"/>
      <c r="H29" s="55"/>
      <c r="I29" s="55"/>
      <c r="J29" s="51" t="n">
        <f aca="false">SUM(C29:I29)</f>
        <v>0</v>
      </c>
      <c r="K29" s="18" t="n">
        <f aca="false">'Compliance Tracker'!J29</f>
        <v>0</v>
      </c>
      <c r="L29" s="52" t="n">
        <f aca="false">IF(K29&gt;0,J29/K29,0)</f>
        <v>0</v>
      </c>
    </row>
    <row r="30" customFormat="false" ht="15" hidden="false" customHeight="false" outlineLevel="0" collapsed="false">
      <c r="A30" s="18" t="n">
        <v>27</v>
      </c>
      <c r="B30" s="61" t="s">
        <v>170</v>
      </c>
      <c r="C30" s="55"/>
      <c r="D30" s="55"/>
      <c r="E30" s="55"/>
      <c r="F30" s="55"/>
      <c r="G30" s="55"/>
      <c r="H30" s="55"/>
      <c r="I30" s="55"/>
      <c r="J30" s="51" t="n">
        <f aca="false">SUM(C30:I30)</f>
        <v>0</v>
      </c>
      <c r="K30" s="18" t="n">
        <f aca="false">'Compliance Tracker'!J30</f>
        <v>0</v>
      </c>
      <c r="L30" s="52" t="n">
        <f aca="false">IF(K30&gt;0,J30/K30,0)</f>
        <v>0</v>
      </c>
    </row>
    <row r="31" customFormat="false" ht="15" hidden="false" customHeight="false" outlineLevel="0" collapsed="false">
      <c r="A31" s="18" t="n">
        <v>28</v>
      </c>
      <c r="B31" s="61" t="s">
        <v>170</v>
      </c>
      <c r="C31" s="55"/>
      <c r="D31" s="55"/>
      <c r="E31" s="55"/>
      <c r="F31" s="55"/>
      <c r="G31" s="55"/>
      <c r="H31" s="55"/>
      <c r="I31" s="55"/>
      <c r="J31" s="51" t="n">
        <f aca="false">SUM(C31:I31)</f>
        <v>0</v>
      </c>
      <c r="K31" s="18" t="n">
        <f aca="false">'Compliance Tracker'!J31</f>
        <v>0</v>
      </c>
      <c r="L31" s="52" t="n">
        <f aca="false">IF(K31&gt;0,J31/K31,0)</f>
        <v>0</v>
      </c>
    </row>
    <row r="32" customFormat="false" ht="15" hidden="false" customHeight="false" outlineLevel="0" collapsed="false">
      <c r="A32" s="18" t="n">
        <v>29</v>
      </c>
      <c r="B32" s="61" t="s">
        <v>170</v>
      </c>
      <c r="C32" s="55"/>
      <c r="D32" s="55"/>
      <c r="E32" s="55"/>
      <c r="F32" s="55"/>
      <c r="G32" s="55"/>
      <c r="H32" s="55"/>
      <c r="I32" s="55"/>
      <c r="J32" s="51" t="n">
        <f aca="false">SUM(C32:I32)</f>
        <v>0</v>
      </c>
      <c r="K32" s="18" t="n">
        <f aca="false">'Compliance Tracker'!J32</f>
        <v>0</v>
      </c>
      <c r="L32" s="52" t="n">
        <f aca="false">IF(K32&gt;0,J32/K32,0)</f>
        <v>0</v>
      </c>
    </row>
    <row r="33" customFormat="false" ht="15" hidden="false" customHeight="false" outlineLevel="0" collapsed="false">
      <c r="A33" s="18" t="n">
        <v>30</v>
      </c>
      <c r="B33" s="61" t="s">
        <v>170</v>
      </c>
      <c r="C33" s="55"/>
      <c r="D33" s="55"/>
      <c r="E33" s="55"/>
      <c r="F33" s="55"/>
      <c r="G33" s="55"/>
      <c r="H33" s="55"/>
      <c r="I33" s="55"/>
      <c r="J33" s="51" t="n">
        <f aca="false">SUM(C33:I33)</f>
        <v>0</v>
      </c>
      <c r="K33" s="18" t="n">
        <f aca="false">'Compliance Tracker'!J33</f>
        <v>0</v>
      </c>
      <c r="L33" s="52" t="n">
        <f aca="false">IF(K33&gt;0,J33/K33,0)</f>
        <v>0</v>
      </c>
    </row>
    <row r="34" customFormat="false" ht="15" hidden="false" customHeight="false" outlineLevel="0" collapsed="false">
      <c r="A34" s="18" t="n">
        <v>31</v>
      </c>
      <c r="B34" s="61" t="s">
        <v>170</v>
      </c>
      <c r="C34" s="55"/>
      <c r="D34" s="55"/>
      <c r="E34" s="55"/>
      <c r="F34" s="55"/>
      <c r="G34" s="55"/>
      <c r="H34" s="55"/>
      <c r="I34" s="55"/>
      <c r="J34" s="51" t="n">
        <f aca="false">SUM(C34:I34)</f>
        <v>0</v>
      </c>
      <c r="K34" s="18" t="n">
        <f aca="false">'Compliance Tracker'!J34</f>
        <v>0</v>
      </c>
      <c r="L34" s="52" t="n">
        <f aca="false">IF(K34&gt;0,J34/K34,0)</f>
        <v>0</v>
      </c>
    </row>
    <row r="35" customFormat="false" ht="15" hidden="false" customHeight="false" outlineLevel="0" collapsed="false">
      <c r="A35" s="18" t="n">
        <v>32</v>
      </c>
      <c r="B35" s="61" t="s">
        <v>170</v>
      </c>
      <c r="C35" s="55"/>
      <c r="D35" s="55"/>
      <c r="E35" s="55"/>
      <c r="F35" s="55"/>
      <c r="G35" s="55"/>
      <c r="H35" s="55"/>
      <c r="I35" s="55"/>
      <c r="J35" s="51" t="n">
        <f aca="false">SUM(C35:I35)</f>
        <v>0</v>
      </c>
      <c r="K35" s="18" t="n">
        <f aca="false">'Compliance Tracker'!J35</f>
        <v>0</v>
      </c>
      <c r="L35" s="52" t="n">
        <f aca="false">IF(K35&gt;0,J35/K35,0)</f>
        <v>0</v>
      </c>
    </row>
    <row r="36" customFormat="false" ht="15" hidden="false" customHeight="false" outlineLevel="0" collapsed="false">
      <c r="A36" s="18" t="n">
        <v>33</v>
      </c>
      <c r="B36" s="61" t="s">
        <v>170</v>
      </c>
      <c r="C36" s="55"/>
      <c r="D36" s="55"/>
      <c r="E36" s="55"/>
      <c r="F36" s="55"/>
      <c r="G36" s="55"/>
      <c r="H36" s="55"/>
      <c r="I36" s="55"/>
      <c r="J36" s="51" t="n">
        <f aca="false">SUM(C36:I36)</f>
        <v>0</v>
      </c>
      <c r="K36" s="18" t="n">
        <f aca="false">'Compliance Tracker'!J36</f>
        <v>0</v>
      </c>
      <c r="L36" s="52" t="n">
        <f aca="false">IF(K36&gt;0,J36/K36,0)</f>
        <v>0</v>
      </c>
    </row>
    <row r="37" customFormat="false" ht="15" hidden="false" customHeight="false" outlineLevel="0" collapsed="false">
      <c r="A37" s="18" t="n">
        <v>34</v>
      </c>
      <c r="B37" s="61" t="s">
        <v>170</v>
      </c>
      <c r="C37" s="55"/>
      <c r="D37" s="55"/>
      <c r="E37" s="55"/>
      <c r="F37" s="55"/>
      <c r="G37" s="55"/>
      <c r="H37" s="55"/>
      <c r="I37" s="55"/>
      <c r="J37" s="51" t="n">
        <f aca="false">SUM(C37:I37)</f>
        <v>0</v>
      </c>
      <c r="K37" s="18" t="n">
        <f aca="false">'Compliance Tracker'!J37</f>
        <v>0</v>
      </c>
      <c r="L37" s="52" t="n">
        <f aca="false">IF(K37&gt;0,J37/K37,0)</f>
        <v>0</v>
      </c>
    </row>
    <row r="38" customFormat="false" ht="15" hidden="false" customHeight="false" outlineLevel="0" collapsed="false">
      <c r="A38" s="18" t="n">
        <v>35</v>
      </c>
      <c r="B38" s="61" t="s">
        <v>170</v>
      </c>
      <c r="C38" s="55"/>
      <c r="D38" s="55"/>
      <c r="E38" s="55"/>
      <c r="F38" s="55"/>
      <c r="G38" s="55"/>
      <c r="H38" s="55"/>
      <c r="I38" s="55"/>
      <c r="J38" s="51" t="n">
        <f aca="false">SUM(C38:I38)</f>
        <v>0</v>
      </c>
      <c r="K38" s="18" t="n">
        <f aca="false">'Compliance Tracker'!J38</f>
        <v>0</v>
      </c>
      <c r="L38" s="52" t="n">
        <f aca="false">IF(K38&gt;0,J38/K38,0)</f>
        <v>0</v>
      </c>
    </row>
    <row r="39" customFormat="false" ht="15" hidden="false" customHeight="false" outlineLevel="0" collapsed="false">
      <c r="A39" s="18" t="n">
        <v>36</v>
      </c>
      <c r="B39" s="61" t="s">
        <v>170</v>
      </c>
      <c r="C39" s="55"/>
      <c r="D39" s="55"/>
      <c r="E39" s="55"/>
      <c r="F39" s="55"/>
      <c r="G39" s="55"/>
      <c r="H39" s="55"/>
      <c r="I39" s="55"/>
      <c r="J39" s="51" t="n">
        <f aca="false">SUM(C39:I39)</f>
        <v>0</v>
      </c>
      <c r="K39" s="18" t="n">
        <f aca="false">'Compliance Tracker'!J39</f>
        <v>0</v>
      </c>
      <c r="L39" s="52" t="n">
        <f aca="false">IF(K39&gt;0,J39/K39,0)</f>
        <v>0</v>
      </c>
    </row>
    <row r="40" customFormat="false" ht="15" hidden="false" customHeight="false" outlineLevel="0" collapsed="false">
      <c r="A40" s="18" t="n">
        <v>37</v>
      </c>
      <c r="B40" s="61" t="s">
        <v>170</v>
      </c>
      <c r="C40" s="55"/>
      <c r="D40" s="55"/>
      <c r="E40" s="55"/>
      <c r="F40" s="55"/>
      <c r="G40" s="55"/>
      <c r="H40" s="55"/>
      <c r="I40" s="55"/>
      <c r="J40" s="51" t="n">
        <f aca="false">SUM(C40:I40)</f>
        <v>0</v>
      </c>
      <c r="K40" s="18" t="n">
        <f aca="false">'Compliance Tracker'!J40</f>
        <v>0</v>
      </c>
      <c r="L40" s="52" t="n">
        <f aca="false">IF(K40&gt;0,J40/K40,0)</f>
        <v>0</v>
      </c>
    </row>
    <row r="41" customFormat="false" ht="15" hidden="false" customHeight="false" outlineLevel="0" collapsed="false">
      <c r="A41" s="18" t="n">
        <v>38</v>
      </c>
      <c r="B41" s="61" t="s">
        <v>170</v>
      </c>
      <c r="C41" s="55"/>
      <c r="D41" s="55"/>
      <c r="E41" s="55"/>
      <c r="F41" s="55"/>
      <c r="G41" s="55"/>
      <c r="H41" s="55"/>
      <c r="I41" s="55"/>
      <c r="J41" s="51" t="n">
        <f aca="false">SUM(C41:I41)</f>
        <v>0</v>
      </c>
      <c r="K41" s="18" t="n">
        <f aca="false">'Compliance Tracker'!J41</f>
        <v>0</v>
      </c>
      <c r="L41" s="52" t="n">
        <f aca="false">IF(K41&gt;0,J41/K41,0)</f>
        <v>0</v>
      </c>
    </row>
    <row r="42" customFormat="false" ht="15" hidden="false" customHeight="false" outlineLevel="0" collapsed="false">
      <c r="A42" s="18" t="n">
        <v>39</v>
      </c>
      <c r="B42" s="61" t="s">
        <v>170</v>
      </c>
      <c r="C42" s="55"/>
      <c r="D42" s="55"/>
      <c r="E42" s="55"/>
      <c r="F42" s="55"/>
      <c r="G42" s="55"/>
      <c r="H42" s="55"/>
      <c r="I42" s="55"/>
      <c r="J42" s="51" t="n">
        <f aca="false">SUM(C42:I42)</f>
        <v>0</v>
      </c>
      <c r="K42" s="18" t="n">
        <f aca="false">'Compliance Tracker'!J42</f>
        <v>0</v>
      </c>
      <c r="L42" s="52" t="n">
        <f aca="false">IF(K42&gt;0,J42/K42,0)</f>
        <v>0</v>
      </c>
    </row>
    <row r="43" customFormat="false" ht="15" hidden="false" customHeight="false" outlineLevel="0" collapsed="false">
      <c r="A43" s="18" t="n">
        <v>40</v>
      </c>
      <c r="B43" s="61" t="s">
        <v>170</v>
      </c>
      <c r="C43" s="55"/>
      <c r="D43" s="55"/>
      <c r="E43" s="55"/>
      <c r="F43" s="55"/>
      <c r="G43" s="55"/>
      <c r="H43" s="55"/>
      <c r="I43" s="55"/>
      <c r="J43" s="51" t="n">
        <f aca="false">SUM(C43:I43)</f>
        <v>0</v>
      </c>
      <c r="K43" s="18" t="n">
        <f aca="false">'Compliance Tracker'!J43</f>
        <v>0</v>
      </c>
      <c r="L43" s="52" t="n">
        <f aca="false">IF(K43&gt;0,J43/K43,0)</f>
        <v>0</v>
      </c>
    </row>
    <row r="44" customFormat="false" ht="15" hidden="false" customHeight="false" outlineLevel="0" collapsed="false">
      <c r="A44" s="18" t="n">
        <v>41</v>
      </c>
      <c r="B44" s="61" t="s">
        <v>170</v>
      </c>
      <c r="C44" s="55"/>
      <c r="D44" s="55"/>
      <c r="E44" s="55"/>
      <c r="F44" s="55"/>
      <c r="G44" s="55"/>
      <c r="H44" s="55"/>
      <c r="I44" s="55"/>
      <c r="J44" s="51" t="n">
        <f aca="false">SUM(C44:I44)</f>
        <v>0</v>
      </c>
      <c r="K44" s="18" t="n">
        <f aca="false">'Compliance Tracker'!J44</f>
        <v>0</v>
      </c>
      <c r="L44" s="52" t="n">
        <f aca="false">IF(K44&gt;0,J44/K44,0)</f>
        <v>0</v>
      </c>
    </row>
    <row r="45" customFormat="false" ht="15" hidden="false" customHeight="false" outlineLevel="0" collapsed="false">
      <c r="A45" s="18" t="n">
        <v>42</v>
      </c>
      <c r="B45" s="61" t="s">
        <v>170</v>
      </c>
      <c r="C45" s="55"/>
      <c r="D45" s="55"/>
      <c r="E45" s="55"/>
      <c r="F45" s="55"/>
      <c r="G45" s="55"/>
      <c r="H45" s="55"/>
      <c r="I45" s="55"/>
      <c r="J45" s="51" t="n">
        <f aca="false">SUM(C45:I45)</f>
        <v>0</v>
      </c>
      <c r="K45" s="18" t="n">
        <f aca="false">'Compliance Tracker'!J45</f>
        <v>0</v>
      </c>
      <c r="L45" s="52" t="n">
        <f aca="false">IF(K45&gt;0,J45/K45,0)</f>
        <v>0</v>
      </c>
    </row>
    <row r="46" customFormat="false" ht="15" hidden="false" customHeight="false" outlineLevel="0" collapsed="false">
      <c r="A46" s="18" t="n">
        <v>43</v>
      </c>
      <c r="B46" s="61" t="s">
        <v>170</v>
      </c>
      <c r="C46" s="55"/>
      <c r="D46" s="55"/>
      <c r="E46" s="55"/>
      <c r="F46" s="55"/>
      <c r="G46" s="55"/>
      <c r="H46" s="55"/>
      <c r="I46" s="55"/>
      <c r="J46" s="51" t="n">
        <f aca="false">SUM(C46:I46)</f>
        <v>0</v>
      </c>
      <c r="K46" s="18" t="n">
        <f aca="false">'Compliance Tracker'!J46</f>
        <v>0</v>
      </c>
      <c r="L46" s="52" t="n">
        <f aca="false">IF(K46&gt;0,J46/K46,0)</f>
        <v>0</v>
      </c>
    </row>
    <row r="47" customFormat="false" ht="15" hidden="false" customHeight="false" outlineLevel="0" collapsed="false">
      <c r="A47" s="18" t="n">
        <v>44</v>
      </c>
      <c r="B47" s="58" t="s">
        <v>278</v>
      </c>
      <c r="C47" s="55"/>
      <c r="D47" s="55"/>
      <c r="E47" s="55"/>
      <c r="F47" s="55"/>
      <c r="G47" s="55"/>
      <c r="H47" s="55"/>
      <c r="I47" s="55"/>
      <c r="J47" s="51" t="n">
        <f aca="false">SUM(C47:I47)</f>
        <v>0</v>
      </c>
      <c r="K47" s="18" t="n">
        <f aca="false">'Compliance Tracker'!J47</f>
        <v>0</v>
      </c>
      <c r="L47" s="52" t="n">
        <f aca="false">IF(K47&gt;0,J47/K47,0)</f>
        <v>0</v>
      </c>
    </row>
    <row r="48" customFormat="false" ht="15" hidden="false" customHeight="false" outlineLevel="0" collapsed="false">
      <c r="A48" s="18" t="n">
        <v>45</v>
      </c>
      <c r="B48" s="58" t="s">
        <v>278</v>
      </c>
      <c r="C48" s="55"/>
      <c r="D48" s="55"/>
      <c r="E48" s="55"/>
      <c r="F48" s="55"/>
      <c r="G48" s="55"/>
      <c r="H48" s="55"/>
      <c r="I48" s="55"/>
      <c r="J48" s="51" t="n">
        <f aca="false">SUM(C48:I48)</f>
        <v>0</v>
      </c>
      <c r="K48" s="18" t="n">
        <f aca="false">'Compliance Tracker'!J48</f>
        <v>0</v>
      </c>
      <c r="L48" s="52" t="n">
        <f aca="false">IF(K48&gt;0,J48/K48,0)</f>
        <v>0</v>
      </c>
    </row>
    <row r="49" customFormat="false" ht="15" hidden="false" customHeight="false" outlineLevel="0" collapsed="false">
      <c r="A49" s="18" t="n">
        <v>46</v>
      </c>
      <c r="B49" s="58" t="s">
        <v>278</v>
      </c>
      <c r="C49" s="55"/>
      <c r="D49" s="55"/>
      <c r="E49" s="55"/>
      <c r="F49" s="55"/>
      <c r="G49" s="55"/>
      <c r="H49" s="55"/>
      <c r="I49" s="55"/>
      <c r="J49" s="51" t="n">
        <f aca="false">SUM(C49:I49)</f>
        <v>0</v>
      </c>
      <c r="K49" s="18" t="n">
        <f aca="false">'Compliance Tracker'!J49</f>
        <v>0</v>
      </c>
      <c r="L49" s="52" t="n">
        <f aca="false">IF(K49&gt;0,J49/K49,0)</f>
        <v>0</v>
      </c>
    </row>
    <row r="50" customFormat="false" ht="15" hidden="false" customHeight="false" outlineLevel="0" collapsed="false">
      <c r="A50" s="18" t="n">
        <v>47</v>
      </c>
      <c r="B50" s="58" t="s">
        <v>278</v>
      </c>
      <c r="C50" s="55"/>
      <c r="D50" s="55"/>
      <c r="E50" s="55"/>
      <c r="F50" s="55"/>
      <c r="G50" s="55"/>
      <c r="H50" s="55"/>
      <c r="I50" s="55"/>
      <c r="J50" s="51" t="n">
        <f aca="false">SUM(C50:I50)</f>
        <v>0</v>
      </c>
      <c r="K50" s="18" t="n">
        <f aca="false">'Compliance Tracker'!J50</f>
        <v>0</v>
      </c>
      <c r="L50" s="52" t="n">
        <f aca="false">IF(K50&gt;0,J50/K50,0)</f>
        <v>0</v>
      </c>
    </row>
    <row r="51" customFormat="false" ht="15" hidden="false" customHeight="false" outlineLevel="0" collapsed="false">
      <c r="A51" s="18" t="n">
        <v>48</v>
      </c>
      <c r="B51" s="58" t="s">
        <v>278</v>
      </c>
      <c r="C51" s="55"/>
      <c r="D51" s="55"/>
      <c r="E51" s="55"/>
      <c r="F51" s="55"/>
      <c r="G51" s="55"/>
      <c r="H51" s="55"/>
      <c r="I51" s="55"/>
      <c r="J51" s="51" t="n">
        <f aca="false">SUM(C51:I51)</f>
        <v>0</v>
      </c>
      <c r="K51" s="18" t="n">
        <f aca="false">'Compliance Tracker'!J51</f>
        <v>0</v>
      </c>
      <c r="L51" s="52" t="n">
        <f aca="false">IF(K51&gt;0,J51/K51,0)</f>
        <v>0</v>
      </c>
    </row>
    <row r="52" customFormat="false" ht="15" hidden="false" customHeight="false" outlineLevel="0" collapsed="false">
      <c r="A52" s="18" t="n">
        <v>49</v>
      </c>
      <c r="B52" s="58" t="s">
        <v>278</v>
      </c>
      <c r="C52" s="55"/>
      <c r="D52" s="55"/>
      <c r="E52" s="55"/>
      <c r="F52" s="55"/>
      <c r="G52" s="55"/>
      <c r="H52" s="55"/>
      <c r="I52" s="55"/>
      <c r="J52" s="51" t="n">
        <f aca="false">SUM(C52:I52)</f>
        <v>0</v>
      </c>
      <c r="K52" s="18" t="n">
        <f aca="false">'Compliance Tracker'!J52</f>
        <v>0</v>
      </c>
      <c r="L52" s="52" t="n">
        <f aca="false">IF(K52&gt;0,J52/K52,0)</f>
        <v>0</v>
      </c>
    </row>
    <row r="53" customFormat="false" ht="15" hidden="false" customHeight="false" outlineLevel="0" collapsed="false">
      <c r="A53" s="18" t="n">
        <v>50</v>
      </c>
      <c r="B53" s="58" t="s">
        <v>278</v>
      </c>
      <c r="C53" s="55"/>
      <c r="D53" s="55"/>
      <c r="E53" s="55"/>
      <c r="F53" s="55"/>
      <c r="G53" s="55"/>
      <c r="H53" s="55"/>
      <c r="I53" s="55"/>
      <c r="J53" s="51" t="n">
        <f aca="false">SUM(C53:I53)</f>
        <v>0</v>
      </c>
      <c r="K53" s="18" t="n">
        <f aca="false">'Compliance Tracker'!J53</f>
        <v>0</v>
      </c>
      <c r="L53" s="52" t="n">
        <f aca="false">IF(K53&gt;0,J53/K53,0)</f>
        <v>0</v>
      </c>
    </row>
    <row r="54" customFormat="false" ht="15" hidden="false" customHeight="false" outlineLevel="0" collapsed="false">
      <c r="A54" s="18" t="n">
        <v>51</v>
      </c>
      <c r="B54" s="58" t="s">
        <v>278</v>
      </c>
      <c r="C54" s="55"/>
      <c r="D54" s="55"/>
      <c r="E54" s="55"/>
      <c r="F54" s="55"/>
      <c r="G54" s="55"/>
      <c r="H54" s="55"/>
      <c r="I54" s="55"/>
      <c r="J54" s="51" t="n">
        <f aca="false">SUM(C54:I54)</f>
        <v>0</v>
      </c>
      <c r="K54" s="18" t="n">
        <f aca="false">'Compliance Tracker'!J54</f>
        <v>0</v>
      </c>
      <c r="L54" s="52" t="n">
        <f aca="false">IF(K54&gt;0,J54/K54,0)</f>
        <v>0</v>
      </c>
    </row>
    <row r="55" customFormat="false" ht="15" hidden="false" customHeight="false" outlineLevel="0" collapsed="false">
      <c r="A55" s="18" t="n">
        <v>52</v>
      </c>
      <c r="B55" s="58" t="s">
        <v>278</v>
      </c>
      <c r="C55" s="55"/>
      <c r="D55" s="55"/>
      <c r="E55" s="55"/>
      <c r="F55" s="55"/>
      <c r="G55" s="55"/>
      <c r="H55" s="55"/>
      <c r="I55" s="55"/>
      <c r="J55" s="51" t="n">
        <f aca="false">SUM(C55:I55)</f>
        <v>0</v>
      </c>
      <c r="K55" s="18" t="n">
        <f aca="false">'Compliance Tracker'!J55</f>
        <v>0</v>
      </c>
      <c r="L55" s="52" t="n">
        <f aca="false">IF(K55&gt;0,J55/K55,0)</f>
        <v>0</v>
      </c>
    </row>
    <row r="58" customFormat="false" ht="24" hidden="false" customHeight="true" outlineLevel="0" collapsed="false">
      <c r="A58" s="3" t="s">
        <v>446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30" hidden="false" customHeight="true" outlineLevel="0" collapsed="false">
      <c r="A59" s="4" t="s">
        <v>54</v>
      </c>
      <c r="B59" s="4" t="s">
        <v>443</v>
      </c>
      <c r="C59" s="4" t="s">
        <v>447</v>
      </c>
      <c r="D59" s="4" t="s">
        <v>448</v>
      </c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false" outlineLevel="0" collapsed="false">
      <c r="A60" s="5" t="s">
        <v>59</v>
      </c>
      <c r="B60" s="18" t="n">
        <f aca="false">SUM(C4:C55)</f>
        <v>0</v>
      </c>
      <c r="C60" s="31" t="n">
        <f aca="false">IF(COUNTA(C4:C55)&gt;0,AVERAGE(C4:C55),0)</f>
        <v>0</v>
      </c>
      <c r="D60" s="83" t="n">
        <f aca="false">B60*30</f>
        <v>0</v>
      </c>
    </row>
    <row r="61" customFormat="false" ht="15" hidden="false" customHeight="false" outlineLevel="0" collapsed="false">
      <c r="A61" s="5" t="s">
        <v>62</v>
      </c>
      <c r="B61" s="18" t="n">
        <f aca="false">SUM(D4:D55)</f>
        <v>0</v>
      </c>
      <c r="C61" s="31" t="n">
        <f aca="false">IF(COUNTA(D4:D55)&gt;0,AVERAGE(D4:D55),0)</f>
        <v>0</v>
      </c>
      <c r="D61" s="83" t="n">
        <f aca="false">B61*30</f>
        <v>0</v>
      </c>
    </row>
    <row r="62" customFormat="false" ht="15" hidden="false" customHeight="false" outlineLevel="0" collapsed="false">
      <c r="A62" s="5" t="s">
        <v>63</v>
      </c>
      <c r="B62" s="18" t="n">
        <f aca="false">SUM(E4:E55)</f>
        <v>0</v>
      </c>
      <c r="C62" s="31" t="n">
        <f aca="false">IF(COUNTA(E4:E55)&gt;0,AVERAGE(E4:E55),0)</f>
        <v>0</v>
      </c>
      <c r="D62" s="83" t="n">
        <f aca="false">B62*30</f>
        <v>0</v>
      </c>
    </row>
    <row r="63" customFormat="false" ht="15" hidden="false" customHeight="false" outlineLevel="0" collapsed="false">
      <c r="A63" s="5" t="s">
        <v>66</v>
      </c>
      <c r="B63" s="18" t="n">
        <f aca="false">SUM(F4:F55)</f>
        <v>0</v>
      </c>
      <c r="C63" s="31" t="n">
        <f aca="false">IF(COUNTA(F4:F55)&gt;0,AVERAGE(F4:F55),0)</f>
        <v>0</v>
      </c>
      <c r="D63" s="83" t="n">
        <f aca="false">B63*30</f>
        <v>0</v>
      </c>
    </row>
    <row r="64" customFormat="false" ht="15" hidden="false" customHeight="false" outlineLevel="0" collapsed="false">
      <c r="A64" s="5" t="s">
        <v>67</v>
      </c>
      <c r="B64" s="18" t="n">
        <f aca="false">SUM(G4:G55)</f>
        <v>0</v>
      </c>
      <c r="C64" s="31" t="n">
        <f aca="false">IF(COUNTA(G4:G55)&gt;0,AVERAGE(G4:G55),0)</f>
        <v>0</v>
      </c>
      <c r="D64" s="83" t="n">
        <f aca="false">B64*30</f>
        <v>0</v>
      </c>
    </row>
    <row r="65" customFormat="false" ht="15" hidden="false" customHeight="false" outlineLevel="0" collapsed="false">
      <c r="A65" s="5" t="s">
        <v>68</v>
      </c>
      <c r="B65" s="18" t="n">
        <f aca="false">SUM(H4:H55)</f>
        <v>0</v>
      </c>
      <c r="C65" s="31" t="n">
        <f aca="false">IF(COUNTA(H4:H55)&gt;0,AVERAGE(H4:H55),0)</f>
        <v>0</v>
      </c>
      <c r="D65" s="83" t="n">
        <f aca="false">B65*30</f>
        <v>0</v>
      </c>
    </row>
    <row r="66" customFormat="false" ht="15" hidden="false" customHeight="false" outlineLevel="0" collapsed="false">
      <c r="A66" s="5" t="s">
        <v>69</v>
      </c>
      <c r="B66" s="18" t="n">
        <f aca="false">SUM(I4:I55)</f>
        <v>0</v>
      </c>
      <c r="C66" s="31" t="n">
        <f aca="false">IF(COUNTA(I4:I55)&gt;0,AVERAGE(I4:I55),0)</f>
        <v>0</v>
      </c>
      <c r="D66" s="83" t="n">
        <f aca="false">B66*30</f>
        <v>0</v>
      </c>
    </row>
    <row r="67" customFormat="false" ht="15" hidden="false" customHeight="false" outlineLevel="0" collapsed="false">
      <c r="A67" s="20" t="s">
        <v>106</v>
      </c>
      <c r="B67" s="21" t="n">
        <f aca="false">SUM(B60:B66)</f>
        <v>0</v>
      </c>
      <c r="C67" s="33" t="n">
        <f aca="false">IF(COUNTA(J4:J55)&gt;0,AVERAGE(J4:J55),0)</f>
        <v>0</v>
      </c>
      <c r="D67" s="84" t="n">
        <f aca="false">SUM(D60:D66)</f>
        <v>0</v>
      </c>
    </row>
    <row r="69" customFormat="false" ht="24" hidden="false" customHeight="true" outlineLevel="0" collapsed="false">
      <c r="A69" s="3" t="s">
        <v>449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5" t="s">
        <v>450</v>
      </c>
      <c r="B70" s="14" t="n">
        <v>0.05</v>
      </c>
      <c r="C70" s="8" t="s">
        <v>451</v>
      </c>
    </row>
    <row r="71" customFormat="false" ht="15" hidden="false" customHeight="false" outlineLevel="0" collapsed="false">
      <c r="A71" s="5" t="s">
        <v>452</v>
      </c>
      <c r="B71" s="14" t="n">
        <v>0.1</v>
      </c>
      <c r="C71" s="8" t="s">
        <v>453</v>
      </c>
    </row>
    <row r="72" customFormat="false" ht="15" hidden="false" customHeight="false" outlineLevel="0" collapsed="false">
      <c r="A72" s="5" t="s">
        <v>454</v>
      </c>
      <c r="B72" s="85" t="n">
        <v>30</v>
      </c>
      <c r="C72" s="8" t="s">
        <v>455</v>
      </c>
    </row>
  </sheetData>
  <mergeCells count="4">
    <mergeCell ref="A1:L1"/>
    <mergeCell ref="A2:L2"/>
    <mergeCell ref="A58:L58"/>
    <mergeCell ref="A69:L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J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9" min="3" style="0" width="18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456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86" t="s">
        <v>457</v>
      </c>
      <c r="B2" s="86"/>
      <c r="C2" s="86"/>
      <c r="D2" s="86"/>
      <c r="E2" s="86"/>
      <c r="F2" s="86"/>
      <c r="G2" s="86"/>
      <c r="H2" s="86"/>
      <c r="I2" s="86"/>
      <c r="J2" s="86"/>
    </row>
    <row r="4" customFormat="false" ht="24" hidden="false" customHeight="true" outlineLevel="0" collapsed="false">
      <c r="A4" s="3" t="s">
        <v>458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0" hidden="false" customHeight="true" outlineLevel="0" collapsed="false">
      <c r="A5" s="4" t="s">
        <v>336</v>
      </c>
      <c r="B5" s="4" t="s">
        <v>174</v>
      </c>
      <c r="C5" s="4" t="s">
        <v>54</v>
      </c>
      <c r="D5" s="4" t="s">
        <v>43</v>
      </c>
      <c r="E5" s="4" t="s">
        <v>459</v>
      </c>
      <c r="F5" s="4" t="s">
        <v>460</v>
      </c>
      <c r="G5" s="4" t="s">
        <v>461</v>
      </c>
      <c r="H5" s="4" t="s">
        <v>462</v>
      </c>
      <c r="I5" s="4" t="s">
        <v>463</v>
      </c>
      <c r="J5" s="4" t="s">
        <v>180</v>
      </c>
    </row>
    <row r="6" customFormat="false" ht="15" hidden="false" customHeight="false" outlineLevel="0" collapsed="false">
      <c r="A6" s="87"/>
      <c r="B6" s="63"/>
      <c r="C6" s="63"/>
      <c r="D6" s="63"/>
      <c r="E6" s="63"/>
      <c r="F6" s="63"/>
      <c r="G6" s="55"/>
      <c r="H6" s="63"/>
      <c r="I6" s="63"/>
      <c r="J6" s="7"/>
    </row>
    <row r="7" customFormat="false" ht="15" hidden="false" customHeight="false" outlineLevel="0" collapsed="false">
      <c r="A7" s="87"/>
      <c r="B7" s="63"/>
      <c r="C7" s="63"/>
      <c r="D7" s="63"/>
      <c r="E7" s="63"/>
      <c r="F7" s="63"/>
      <c r="G7" s="55"/>
      <c r="H7" s="63"/>
      <c r="I7" s="63"/>
      <c r="J7" s="49"/>
    </row>
    <row r="8" customFormat="false" ht="15" hidden="false" customHeight="false" outlineLevel="0" collapsed="false">
      <c r="A8" s="87"/>
      <c r="B8" s="63"/>
      <c r="C8" s="63"/>
      <c r="D8" s="63"/>
      <c r="E8" s="63"/>
      <c r="F8" s="63"/>
      <c r="G8" s="55"/>
      <c r="H8" s="63"/>
      <c r="I8" s="63"/>
      <c r="J8" s="7"/>
    </row>
    <row r="9" customFormat="false" ht="15" hidden="false" customHeight="false" outlineLevel="0" collapsed="false">
      <c r="A9" s="87"/>
      <c r="B9" s="63"/>
      <c r="C9" s="63"/>
      <c r="D9" s="63"/>
      <c r="E9" s="63"/>
      <c r="F9" s="63"/>
      <c r="G9" s="55"/>
      <c r="H9" s="63"/>
      <c r="I9" s="63"/>
      <c r="J9" s="49"/>
    </row>
    <row r="10" customFormat="false" ht="15" hidden="false" customHeight="false" outlineLevel="0" collapsed="false">
      <c r="A10" s="87"/>
      <c r="B10" s="63"/>
      <c r="C10" s="63"/>
      <c r="D10" s="63"/>
      <c r="E10" s="63"/>
      <c r="F10" s="63"/>
      <c r="G10" s="55"/>
      <c r="H10" s="63"/>
      <c r="I10" s="63"/>
      <c r="J10" s="7"/>
    </row>
    <row r="11" customFormat="false" ht="15" hidden="false" customHeight="false" outlineLevel="0" collapsed="false">
      <c r="A11" s="87"/>
      <c r="B11" s="63"/>
      <c r="C11" s="63"/>
      <c r="D11" s="63"/>
      <c r="E11" s="63"/>
      <c r="F11" s="63"/>
      <c r="G11" s="55"/>
      <c r="H11" s="63"/>
      <c r="I11" s="63"/>
      <c r="J11" s="49"/>
    </row>
    <row r="12" customFormat="false" ht="15" hidden="false" customHeight="false" outlineLevel="0" collapsed="false">
      <c r="A12" s="87"/>
      <c r="B12" s="63"/>
      <c r="C12" s="63"/>
      <c r="D12" s="63"/>
      <c r="E12" s="63"/>
      <c r="F12" s="63"/>
      <c r="G12" s="55"/>
      <c r="H12" s="63"/>
      <c r="I12" s="63"/>
      <c r="J12" s="7"/>
    </row>
    <row r="13" customFormat="false" ht="15" hidden="false" customHeight="false" outlineLevel="0" collapsed="false">
      <c r="A13" s="87"/>
      <c r="B13" s="63"/>
      <c r="C13" s="63"/>
      <c r="D13" s="63"/>
      <c r="E13" s="63"/>
      <c r="F13" s="63"/>
      <c r="G13" s="55"/>
      <c r="H13" s="63"/>
      <c r="I13" s="63"/>
      <c r="J13" s="49"/>
    </row>
    <row r="14" customFormat="false" ht="15" hidden="false" customHeight="false" outlineLevel="0" collapsed="false">
      <c r="A14" s="87"/>
      <c r="B14" s="63"/>
      <c r="C14" s="63"/>
      <c r="D14" s="63"/>
      <c r="E14" s="63"/>
      <c r="F14" s="63"/>
      <c r="G14" s="55"/>
      <c r="H14" s="63"/>
      <c r="I14" s="63"/>
      <c r="J14" s="7"/>
    </row>
    <row r="15" customFormat="false" ht="15" hidden="false" customHeight="false" outlineLevel="0" collapsed="false">
      <c r="A15" s="87"/>
      <c r="B15" s="63"/>
      <c r="C15" s="63"/>
      <c r="D15" s="63"/>
      <c r="E15" s="63"/>
      <c r="F15" s="63"/>
      <c r="G15" s="55"/>
      <c r="H15" s="63"/>
      <c r="I15" s="63"/>
      <c r="J15" s="49"/>
    </row>
    <row r="16" customFormat="false" ht="15" hidden="false" customHeight="false" outlineLevel="0" collapsed="false">
      <c r="A16" s="87"/>
      <c r="B16" s="63"/>
      <c r="C16" s="63"/>
      <c r="D16" s="63"/>
      <c r="E16" s="63"/>
      <c r="F16" s="63"/>
      <c r="G16" s="55"/>
      <c r="H16" s="63"/>
      <c r="I16" s="63"/>
      <c r="J16" s="7"/>
    </row>
    <row r="17" customFormat="false" ht="15" hidden="false" customHeight="false" outlineLevel="0" collapsed="false">
      <c r="A17" s="87"/>
      <c r="B17" s="63"/>
      <c r="C17" s="63"/>
      <c r="D17" s="63"/>
      <c r="E17" s="63"/>
      <c r="F17" s="63"/>
      <c r="G17" s="55"/>
      <c r="H17" s="63"/>
      <c r="I17" s="63"/>
      <c r="J17" s="49"/>
    </row>
    <row r="18" customFormat="false" ht="15" hidden="false" customHeight="false" outlineLevel="0" collapsed="false">
      <c r="A18" s="87"/>
      <c r="B18" s="63"/>
      <c r="C18" s="63"/>
      <c r="D18" s="63"/>
      <c r="E18" s="63"/>
      <c r="F18" s="63"/>
      <c r="G18" s="55"/>
      <c r="H18" s="63"/>
      <c r="I18" s="63"/>
      <c r="J18" s="7"/>
    </row>
    <row r="19" customFormat="false" ht="15" hidden="false" customHeight="false" outlineLevel="0" collapsed="false">
      <c r="A19" s="87"/>
      <c r="B19" s="63"/>
      <c r="C19" s="63"/>
      <c r="D19" s="63"/>
      <c r="E19" s="63"/>
      <c r="F19" s="63"/>
      <c r="G19" s="55"/>
      <c r="H19" s="63"/>
      <c r="I19" s="63"/>
      <c r="J19" s="49"/>
    </row>
    <row r="20" customFormat="false" ht="15" hidden="false" customHeight="false" outlineLevel="0" collapsed="false">
      <c r="A20" s="87"/>
      <c r="B20" s="63"/>
      <c r="C20" s="63"/>
      <c r="D20" s="63"/>
      <c r="E20" s="63"/>
      <c r="F20" s="63"/>
      <c r="G20" s="55"/>
      <c r="H20" s="63"/>
      <c r="I20" s="63"/>
      <c r="J20" s="7"/>
    </row>
    <row r="21" customFormat="false" ht="15" hidden="false" customHeight="false" outlineLevel="0" collapsed="false">
      <c r="A21" s="87"/>
      <c r="B21" s="63"/>
      <c r="C21" s="63"/>
      <c r="D21" s="63"/>
      <c r="E21" s="63"/>
      <c r="F21" s="63"/>
      <c r="G21" s="55"/>
      <c r="H21" s="63"/>
      <c r="I21" s="63"/>
      <c r="J21" s="49"/>
    </row>
    <row r="22" customFormat="false" ht="15" hidden="false" customHeight="false" outlineLevel="0" collapsed="false">
      <c r="A22" s="87"/>
      <c r="B22" s="63"/>
      <c r="C22" s="63"/>
      <c r="D22" s="63"/>
      <c r="E22" s="63"/>
      <c r="F22" s="63"/>
      <c r="G22" s="55"/>
      <c r="H22" s="63"/>
      <c r="I22" s="63"/>
      <c r="J22" s="7"/>
    </row>
    <row r="23" customFormat="false" ht="15" hidden="false" customHeight="false" outlineLevel="0" collapsed="false">
      <c r="A23" s="87"/>
      <c r="B23" s="63"/>
      <c r="C23" s="63"/>
      <c r="D23" s="63"/>
      <c r="E23" s="63"/>
      <c r="F23" s="63"/>
      <c r="G23" s="55"/>
      <c r="H23" s="63"/>
      <c r="I23" s="63"/>
      <c r="J23" s="49"/>
    </row>
    <row r="24" customFormat="false" ht="15" hidden="false" customHeight="false" outlineLevel="0" collapsed="false">
      <c r="A24" s="87"/>
      <c r="B24" s="63"/>
      <c r="C24" s="63"/>
      <c r="D24" s="63"/>
      <c r="E24" s="63"/>
      <c r="F24" s="63"/>
      <c r="G24" s="55"/>
      <c r="H24" s="63"/>
      <c r="I24" s="63"/>
      <c r="J24" s="7"/>
    </row>
    <row r="25" customFormat="false" ht="15" hidden="false" customHeight="false" outlineLevel="0" collapsed="false">
      <c r="A25" s="87"/>
      <c r="B25" s="63"/>
      <c r="C25" s="63"/>
      <c r="D25" s="63"/>
      <c r="E25" s="63"/>
      <c r="F25" s="63"/>
      <c r="G25" s="55"/>
      <c r="H25" s="63"/>
      <c r="I25" s="63"/>
      <c r="J25" s="49"/>
    </row>
    <row r="26" customFormat="false" ht="15" hidden="false" customHeight="false" outlineLevel="0" collapsed="false">
      <c r="A26" s="87"/>
      <c r="B26" s="63"/>
      <c r="C26" s="63"/>
      <c r="D26" s="63"/>
      <c r="E26" s="63"/>
      <c r="F26" s="63"/>
      <c r="G26" s="55"/>
      <c r="H26" s="63"/>
      <c r="I26" s="63"/>
      <c r="J26" s="7"/>
    </row>
    <row r="27" customFormat="false" ht="15" hidden="false" customHeight="false" outlineLevel="0" collapsed="false">
      <c r="A27" s="87"/>
      <c r="B27" s="63"/>
      <c r="C27" s="63"/>
      <c r="D27" s="63"/>
      <c r="E27" s="63"/>
      <c r="F27" s="63"/>
      <c r="G27" s="55"/>
      <c r="H27" s="63"/>
      <c r="I27" s="63"/>
      <c r="J27" s="49"/>
    </row>
    <row r="28" customFormat="false" ht="15" hidden="false" customHeight="false" outlineLevel="0" collapsed="false">
      <c r="A28" s="87"/>
      <c r="B28" s="63"/>
      <c r="C28" s="63"/>
      <c r="D28" s="63"/>
      <c r="E28" s="63"/>
      <c r="F28" s="63"/>
      <c r="G28" s="55"/>
      <c r="H28" s="63"/>
      <c r="I28" s="63"/>
      <c r="J28" s="7"/>
    </row>
    <row r="29" customFormat="false" ht="15" hidden="false" customHeight="false" outlineLevel="0" collapsed="false">
      <c r="A29" s="87"/>
      <c r="B29" s="63"/>
      <c r="C29" s="63"/>
      <c r="D29" s="63"/>
      <c r="E29" s="63"/>
      <c r="F29" s="63"/>
      <c r="G29" s="55"/>
      <c r="H29" s="63"/>
      <c r="I29" s="63"/>
      <c r="J29" s="49"/>
    </row>
    <row r="30" customFormat="false" ht="15" hidden="false" customHeight="false" outlineLevel="0" collapsed="false">
      <c r="A30" s="87"/>
      <c r="B30" s="63"/>
      <c r="C30" s="63"/>
      <c r="D30" s="63"/>
      <c r="E30" s="63"/>
      <c r="F30" s="63"/>
      <c r="G30" s="55"/>
      <c r="H30" s="63"/>
      <c r="I30" s="63"/>
      <c r="J30" s="7"/>
    </row>
    <row r="31" customFormat="false" ht="15" hidden="false" customHeight="false" outlineLevel="0" collapsed="false">
      <c r="A31" s="87"/>
      <c r="B31" s="63"/>
      <c r="C31" s="63"/>
      <c r="D31" s="63"/>
      <c r="E31" s="63"/>
      <c r="F31" s="63"/>
      <c r="G31" s="55"/>
      <c r="H31" s="63"/>
      <c r="I31" s="63"/>
      <c r="J31" s="49"/>
    </row>
    <row r="32" customFormat="false" ht="15" hidden="false" customHeight="false" outlineLevel="0" collapsed="false">
      <c r="A32" s="87"/>
      <c r="B32" s="63"/>
      <c r="C32" s="63"/>
      <c r="D32" s="63"/>
      <c r="E32" s="63"/>
      <c r="F32" s="63"/>
      <c r="G32" s="55"/>
      <c r="H32" s="63"/>
      <c r="I32" s="63"/>
      <c r="J32" s="7"/>
    </row>
    <row r="33" customFormat="false" ht="15" hidden="false" customHeight="false" outlineLevel="0" collapsed="false">
      <c r="A33" s="87"/>
      <c r="B33" s="63"/>
      <c r="C33" s="63"/>
      <c r="D33" s="63"/>
      <c r="E33" s="63"/>
      <c r="F33" s="63"/>
      <c r="G33" s="55"/>
      <c r="H33" s="63"/>
      <c r="I33" s="63"/>
      <c r="J33" s="49"/>
    </row>
    <row r="34" customFormat="false" ht="15" hidden="false" customHeight="false" outlineLevel="0" collapsed="false">
      <c r="A34" s="87"/>
      <c r="B34" s="63"/>
      <c r="C34" s="63"/>
      <c r="D34" s="63"/>
      <c r="E34" s="63"/>
      <c r="F34" s="63"/>
      <c r="G34" s="55"/>
      <c r="H34" s="63"/>
      <c r="I34" s="63"/>
      <c r="J34" s="7"/>
    </row>
    <row r="35" customFormat="false" ht="15" hidden="false" customHeight="false" outlineLevel="0" collapsed="false">
      <c r="A35" s="87"/>
      <c r="B35" s="63"/>
      <c r="C35" s="63"/>
      <c r="D35" s="63"/>
      <c r="E35" s="63"/>
      <c r="F35" s="63"/>
      <c r="G35" s="55"/>
      <c r="H35" s="63"/>
      <c r="I35" s="63"/>
      <c r="J35" s="49"/>
    </row>
    <row r="36" customFormat="false" ht="15" hidden="false" customHeight="false" outlineLevel="0" collapsed="false">
      <c r="A36" s="87"/>
      <c r="B36" s="63"/>
      <c r="C36" s="63"/>
      <c r="D36" s="63"/>
      <c r="E36" s="63"/>
      <c r="F36" s="63"/>
      <c r="G36" s="55"/>
      <c r="H36" s="63"/>
      <c r="I36" s="63"/>
      <c r="J36" s="7"/>
    </row>
    <row r="37" customFormat="false" ht="15" hidden="false" customHeight="false" outlineLevel="0" collapsed="false">
      <c r="A37" s="87"/>
      <c r="B37" s="63"/>
      <c r="C37" s="63"/>
      <c r="D37" s="63"/>
      <c r="E37" s="63"/>
      <c r="F37" s="63"/>
      <c r="G37" s="55"/>
      <c r="H37" s="63"/>
      <c r="I37" s="63"/>
      <c r="J37" s="49"/>
    </row>
    <row r="38" customFormat="false" ht="15" hidden="false" customHeight="false" outlineLevel="0" collapsed="false">
      <c r="A38" s="87"/>
      <c r="B38" s="63"/>
      <c r="C38" s="63"/>
      <c r="D38" s="63"/>
      <c r="E38" s="63"/>
      <c r="F38" s="63"/>
      <c r="G38" s="55"/>
      <c r="H38" s="63"/>
      <c r="I38" s="63"/>
      <c r="J38" s="7"/>
    </row>
    <row r="39" customFormat="false" ht="15" hidden="false" customHeight="false" outlineLevel="0" collapsed="false">
      <c r="A39" s="87"/>
      <c r="B39" s="63"/>
      <c r="C39" s="63"/>
      <c r="D39" s="63"/>
      <c r="E39" s="63"/>
      <c r="F39" s="63"/>
      <c r="G39" s="55"/>
      <c r="H39" s="63"/>
      <c r="I39" s="63"/>
      <c r="J39" s="49"/>
    </row>
    <row r="40" customFormat="false" ht="15" hidden="false" customHeight="false" outlineLevel="0" collapsed="false">
      <c r="A40" s="87"/>
      <c r="B40" s="63"/>
      <c r="C40" s="63"/>
      <c r="D40" s="63"/>
      <c r="E40" s="63"/>
      <c r="F40" s="63"/>
      <c r="G40" s="55"/>
      <c r="H40" s="63"/>
      <c r="I40" s="63"/>
      <c r="J40" s="7"/>
    </row>
    <row r="41" customFormat="false" ht="15" hidden="false" customHeight="false" outlineLevel="0" collapsed="false">
      <c r="A41" s="87"/>
      <c r="B41" s="63"/>
      <c r="C41" s="63"/>
      <c r="D41" s="63"/>
      <c r="E41" s="63"/>
      <c r="F41" s="63"/>
      <c r="G41" s="55"/>
      <c r="H41" s="63"/>
      <c r="I41" s="63"/>
      <c r="J41" s="49"/>
    </row>
    <row r="42" customFormat="false" ht="15" hidden="false" customHeight="false" outlineLevel="0" collapsed="false">
      <c r="A42" s="87"/>
      <c r="B42" s="63"/>
      <c r="C42" s="63"/>
      <c r="D42" s="63"/>
      <c r="E42" s="63"/>
      <c r="F42" s="63"/>
      <c r="G42" s="55"/>
      <c r="H42" s="63"/>
      <c r="I42" s="63"/>
      <c r="J42" s="7"/>
    </row>
    <row r="43" customFormat="false" ht="15" hidden="false" customHeight="false" outlineLevel="0" collapsed="false">
      <c r="A43" s="87"/>
      <c r="B43" s="63"/>
      <c r="C43" s="63"/>
      <c r="D43" s="63"/>
      <c r="E43" s="63"/>
      <c r="F43" s="63"/>
      <c r="G43" s="55"/>
      <c r="H43" s="63"/>
      <c r="I43" s="63"/>
      <c r="J43" s="49"/>
    </row>
    <row r="44" customFormat="false" ht="15" hidden="false" customHeight="false" outlineLevel="0" collapsed="false">
      <c r="A44" s="87"/>
      <c r="B44" s="63"/>
      <c r="C44" s="63"/>
      <c r="D44" s="63"/>
      <c r="E44" s="63"/>
      <c r="F44" s="63"/>
      <c r="G44" s="55"/>
      <c r="H44" s="63"/>
      <c r="I44" s="63"/>
      <c r="J44" s="7"/>
    </row>
    <row r="45" customFormat="false" ht="15" hidden="false" customHeight="false" outlineLevel="0" collapsed="false">
      <c r="A45" s="87"/>
      <c r="B45" s="63"/>
      <c r="C45" s="63"/>
      <c r="D45" s="63"/>
      <c r="E45" s="63"/>
      <c r="F45" s="63"/>
      <c r="G45" s="55"/>
      <c r="H45" s="63"/>
      <c r="I45" s="63"/>
      <c r="J45" s="49"/>
    </row>
    <row r="46" customFormat="false" ht="15" hidden="false" customHeight="false" outlineLevel="0" collapsed="false">
      <c r="A46" s="87"/>
      <c r="B46" s="63"/>
      <c r="C46" s="63"/>
      <c r="D46" s="63"/>
      <c r="E46" s="63"/>
      <c r="F46" s="63"/>
      <c r="G46" s="55"/>
      <c r="H46" s="63"/>
      <c r="I46" s="63"/>
      <c r="J46" s="7"/>
    </row>
    <row r="47" customFormat="false" ht="15" hidden="false" customHeight="false" outlineLevel="0" collapsed="false">
      <c r="A47" s="87"/>
      <c r="B47" s="63"/>
      <c r="C47" s="63"/>
      <c r="D47" s="63"/>
      <c r="E47" s="63"/>
      <c r="F47" s="63"/>
      <c r="G47" s="55"/>
      <c r="H47" s="63"/>
      <c r="I47" s="63"/>
      <c r="J47" s="49"/>
    </row>
    <row r="48" customFormat="false" ht="15" hidden="false" customHeight="false" outlineLevel="0" collapsed="false">
      <c r="A48" s="87"/>
      <c r="B48" s="63"/>
      <c r="C48" s="63"/>
      <c r="D48" s="63"/>
      <c r="E48" s="63"/>
      <c r="F48" s="63"/>
      <c r="G48" s="55"/>
      <c r="H48" s="63"/>
      <c r="I48" s="63"/>
      <c r="J48" s="7"/>
    </row>
    <row r="49" customFormat="false" ht="15" hidden="false" customHeight="false" outlineLevel="0" collapsed="false">
      <c r="A49" s="87"/>
      <c r="B49" s="63"/>
      <c r="C49" s="63"/>
      <c r="D49" s="63"/>
      <c r="E49" s="63"/>
      <c r="F49" s="63"/>
      <c r="G49" s="55"/>
      <c r="H49" s="63"/>
      <c r="I49" s="63"/>
      <c r="J49" s="49"/>
    </row>
    <row r="50" customFormat="false" ht="15" hidden="false" customHeight="false" outlineLevel="0" collapsed="false">
      <c r="A50" s="87"/>
      <c r="B50" s="63"/>
      <c r="C50" s="63"/>
      <c r="D50" s="63"/>
      <c r="E50" s="63"/>
      <c r="F50" s="63"/>
      <c r="G50" s="55"/>
      <c r="H50" s="63"/>
      <c r="I50" s="63"/>
      <c r="J50" s="7"/>
    </row>
    <row r="51" customFormat="false" ht="15" hidden="false" customHeight="false" outlineLevel="0" collapsed="false">
      <c r="A51" s="87"/>
      <c r="B51" s="63"/>
      <c r="C51" s="63"/>
      <c r="D51" s="63"/>
      <c r="E51" s="63"/>
      <c r="F51" s="63"/>
      <c r="G51" s="55"/>
      <c r="H51" s="63"/>
      <c r="I51" s="63"/>
      <c r="J51" s="49"/>
    </row>
    <row r="52" customFormat="false" ht="15" hidden="false" customHeight="false" outlineLevel="0" collapsed="false">
      <c r="A52" s="87"/>
      <c r="B52" s="63"/>
      <c r="C52" s="63"/>
      <c r="D52" s="63"/>
      <c r="E52" s="63"/>
      <c r="F52" s="63"/>
      <c r="G52" s="55"/>
      <c r="H52" s="63"/>
      <c r="I52" s="63"/>
      <c r="J52" s="7"/>
    </row>
    <row r="53" customFormat="false" ht="15" hidden="false" customHeight="false" outlineLevel="0" collapsed="false">
      <c r="A53" s="87"/>
      <c r="B53" s="63"/>
      <c r="C53" s="63"/>
      <c r="D53" s="63"/>
      <c r="E53" s="63"/>
      <c r="F53" s="63"/>
      <c r="G53" s="55"/>
      <c r="H53" s="63"/>
      <c r="I53" s="63"/>
      <c r="J53" s="49"/>
    </row>
    <row r="54" customFormat="false" ht="15" hidden="false" customHeight="false" outlineLevel="0" collapsed="false">
      <c r="A54" s="87"/>
      <c r="B54" s="63"/>
      <c r="C54" s="63"/>
      <c r="D54" s="63"/>
      <c r="E54" s="63"/>
      <c r="F54" s="63"/>
      <c r="G54" s="55"/>
      <c r="H54" s="63"/>
      <c r="I54" s="63"/>
      <c r="J54" s="7"/>
    </row>
    <row r="55" customFormat="false" ht="15" hidden="false" customHeight="false" outlineLevel="0" collapsed="false">
      <c r="A55" s="87"/>
      <c r="B55" s="63"/>
      <c r="C55" s="63"/>
      <c r="D55" s="63"/>
      <c r="E55" s="63"/>
      <c r="F55" s="63"/>
      <c r="G55" s="55"/>
      <c r="H55" s="63"/>
      <c r="I55" s="63"/>
      <c r="J55" s="49"/>
    </row>
    <row r="56" customFormat="false" ht="15" hidden="false" customHeight="false" outlineLevel="0" collapsed="false">
      <c r="A56" s="87"/>
      <c r="B56" s="63"/>
      <c r="C56" s="63"/>
      <c r="D56" s="63"/>
      <c r="E56" s="63"/>
      <c r="F56" s="63"/>
      <c r="G56" s="55"/>
      <c r="H56" s="63"/>
      <c r="I56" s="63"/>
      <c r="J56" s="7"/>
    </row>
    <row r="57" customFormat="false" ht="15" hidden="false" customHeight="false" outlineLevel="0" collapsed="false">
      <c r="A57" s="87"/>
      <c r="B57" s="63"/>
      <c r="C57" s="63"/>
      <c r="D57" s="63"/>
      <c r="E57" s="63"/>
      <c r="F57" s="63"/>
      <c r="G57" s="55"/>
      <c r="H57" s="63"/>
      <c r="I57" s="63"/>
      <c r="J57" s="49"/>
    </row>
    <row r="58" customFormat="false" ht="15" hidden="false" customHeight="false" outlineLevel="0" collapsed="false">
      <c r="A58" s="87"/>
      <c r="B58" s="63"/>
      <c r="C58" s="63"/>
      <c r="D58" s="63"/>
      <c r="E58" s="63"/>
      <c r="F58" s="63"/>
      <c r="G58" s="55"/>
      <c r="H58" s="63"/>
      <c r="I58" s="63"/>
      <c r="J58" s="7"/>
    </row>
    <row r="59" customFormat="false" ht="15" hidden="false" customHeight="false" outlineLevel="0" collapsed="false">
      <c r="A59" s="87"/>
      <c r="B59" s="63"/>
      <c r="C59" s="63"/>
      <c r="D59" s="63"/>
      <c r="E59" s="63"/>
      <c r="F59" s="63"/>
      <c r="G59" s="55"/>
      <c r="H59" s="63"/>
      <c r="I59" s="63"/>
      <c r="J59" s="49"/>
    </row>
    <row r="60" customFormat="false" ht="15" hidden="false" customHeight="false" outlineLevel="0" collapsed="false">
      <c r="A60" s="87"/>
      <c r="B60" s="63"/>
      <c r="C60" s="63"/>
      <c r="D60" s="63"/>
      <c r="E60" s="63"/>
      <c r="F60" s="63"/>
      <c r="G60" s="55"/>
      <c r="H60" s="63"/>
      <c r="I60" s="63"/>
      <c r="J60" s="7"/>
    </row>
    <row r="61" customFormat="false" ht="15" hidden="false" customHeight="false" outlineLevel="0" collapsed="false">
      <c r="A61" s="87"/>
      <c r="B61" s="63"/>
      <c r="C61" s="63"/>
      <c r="D61" s="63"/>
      <c r="E61" s="63"/>
      <c r="F61" s="63"/>
      <c r="G61" s="55"/>
      <c r="H61" s="63"/>
      <c r="I61" s="63"/>
      <c r="J61" s="49"/>
    </row>
    <row r="62" customFormat="false" ht="15" hidden="false" customHeight="false" outlineLevel="0" collapsed="false">
      <c r="A62" s="87"/>
      <c r="B62" s="63"/>
      <c r="C62" s="63"/>
      <c r="D62" s="63"/>
      <c r="E62" s="63"/>
      <c r="F62" s="63"/>
      <c r="G62" s="55"/>
      <c r="H62" s="63"/>
      <c r="I62" s="63"/>
      <c r="J62" s="7"/>
    </row>
    <row r="63" customFormat="false" ht="15" hidden="false" customHeight="false" outlineLevel="0" collapsed="false">
      <c r="A63" s="87"/>
      <c r="B63" s="63"/>
      <c r="C63" s="63"/>
      <c r="D63" s="63"/>
      <c r="E63" s="63"/>
      <c r="F63" s="63"/>
      <c r="G63" s="55"/>
      <c r="H63" s="63"/>
      <c r="I63" s="63"/>
      <c r="J63" s="49"/>
    </row>
    <row r="64" customFormat="false" ht="15" hidden="false" customHeight="false" outlineLevel="0" collapsed="false">
      <c r="A64" s="87"/>
      <c r="B64" s="63"/>
      <c r="C64" s="63"/>
      <c r="D64" s="63"/>
      <c r="E64" s="63"/>
      <c r="F64" s="63"/>
      <c r="G64" s="55"/>
      <c r="H64" s="63"/>
      <c r="I64" s="63"/>
      <c r="J64" s="7"/>
    </row>
    <row r="65" customFormat="false" ht="15" hidden="false" customHeight="false" outlineLevel="0" collapsed="false">
      <c r="A65" s="87"/>
      <c r="B65" s="63"/>
      <c r="C65" s="63"/>
      <c r="D65" s="63"/>
      <c r="E65" s="63"/>
      <c r="F65" s="63"/>
      <c r="G65" s="55"/>
      <c r="H65" s="63"/>
      <c r="I65" s="63"/>
      <c r="J65" s="49"/>
    </row>
    <row r="66" customFormat="false" ht="15" hidden="false" customHeight="false" outlineLevel="0" collapsed="false">
      <c r="A66" s="87"/>
      <c r="B66" s="63"/>
      <c r="C66" s="63"/>
      <c r="D66" s="63"/>
      <c r="E66" s="63"/>
      <c r="F66" s="63"/>
      <c r="G66" s="55"/>
      <c r="H66" s="63"/>
      <c r="I66" s="63"/>
      <c r="J66" s="7"/>
    </row>
    <row r="67" customFormat="false" ht="15" hidden="false" customHeight="false" outlineLevel="0" collapsed="false">
      <c r="A67" s="87"/>
      <c r="B67" s="63"/>
      <c r="C67" s="63"/>
      <c r="D67" s="63"/>
      <c r="E67" s="63"/>
      <c r="F67" s="63"/>
      <c r="G67" s="55"/>
      <c r="H67" s="63"/>
      <c r="I67" s="63"/>
      <c r="J67" s="49"/>
    </row>
    <row r="68" customFormat="false" ht="15" hidden="false" customHeight="false" outlineLevel="0" collapsed="false">
      <c r="A68" s="87"/>
      <c r="B68" s="63"/>
      <c r="C68" s="63"/>
      <c r="D68" s="63"/>
      <c r="E68" s="63"/>
      <c r="F68" s="63"/>
      <c r="G68" s="55"/>
      <c r="H68" s="63"/>
      <c r="I68" s="63"/>
      <c r="J68" s="7"/>
    </row>
    <row r="69" customFormat="false" ht="15" hidden="false" customHeight="false" outlineLevel="0" collapsed="false">
      <c r="A69" s="87"/>
      <c r="B69" s="63"/>
      <c r="C69" s="63"/>
      <c r="D69" s="63"/>
      <c r="E69" s="63"/>
      <c r="F69" s="63"/>
      <c r="G69" s="55"/>
      <c r="H69" s="63"/>
      <c r="I69" s="63"/>
      <c r="J69" s="49"/>
    </row>
    <row r="70" customFormat="false" ht="15" hidden="false" customHeight="false" outlineLevel="0" collapsed="false">
      <c r="A70" s="87"/>
      <c r="B70" s="63"/>
      <c r="C70" s="63"/>
      <c r="D70" s="63"/>
      <c r="E70" s="63"/>
      <c r="F70" s="63"/>
      <c r="G70" s="55"/>
      <c r="H70" s="63"/>
      <c r="I70" s="63"/>
      <c r="J70" s="7"/>
    </row>
    <row r="71" customFormat="false" ht="15" hidden="false" customHeight="false" outlineLevel="0" collapsed="false">
      <c r="A71" s="87"/>
      <c r="B71" s="63"/>
      <c r="C71" s="63"/>
      <c r="D71" s="63"/>
      <c r="E71" s="63"/>
      <c r="F71" s="63"/>
      <c r="G71" s="55"/>
      <c r="H71" s="63"/>
      <c r="I71" s="63"/>
      <c r="J71" s="49"/>
    </row>
    <row r="72" customFormat="false" ht="15" hidden="false" customHeight="false" outlineLevel="0" collapsed="false">
      <c r="A72" s="87"/>
      <c r="B72" s="63"/>
      <c r="C72" s="63"/>
      <c r="D72" s="63"/>
      <c r="E72" s="63"/>
      <c r="F72" s="63"/>
      <c r="G72" s="55"/>
      <c r="H72" s="63"/>
      <c r="I72" s="63"/>
      <c r="J72" s="7"/>
    </row>
    <row r="73" customFormat="false" ht="15" hidden="false" customHeight="false" outlineLevel="0" collapsed="false">
      <c r="A73" s="87"/>
      <c r="B73" s="63"/>
      <c r="C73" s="63"/>
      <c r="D73" s="63"/>
      <c r="E73" s="63"/>
      <c r="F73" s="63"/>
      <c r="G73" s="55"/>
      <c r="H73" s="63"/>
      <c r="I73" s="63"/>
      <c r="J73" s="49"/>
    </row>
    <row r="74" customFormat="false" ht="15" hidden="false" customHeight="false" outlineLevel="0" collapsed="false">
      <c r="A74" s="87"/>
      <c r="B74" s="63"/>
      <c r="C74" s="63"/>
      <c r="D74" s="63"/>
      <c r="E74" s="63"/>
      <c r="F74" s="63"/>
      <c r="G74" s="55"/>
      <c r="H74" s="63"/>
      <c r="I74" s="63"/>
      <c r="J74" s="7"/>
    </row>
    <row r="75" customFormat="false" ht="15" hidden="false" customHeight="false" outlineLevel="0" collapsed="false">
      <c r="A75" s="87"/>
      <c r="B75" s="63"/>
      <c r="C75" s="63"/>
      <c r="D75" s="63"/>
      <c r="E75" s="63"/>
      <c r="F75" s="63"/>
      <c r="G75" s="55"/>
      <c r="H75" s="63"/>
      <c r="I75" s="63"/>
      <c r="J75" s="49"/>
    </row>
    <row r="76" customFormat="false" ht="15" hidden="false" customHeight="false" outlineLevel="0" collapsed="false">
      <c r="A76" s="87"/>
      <c r="B76" s="63"/>
      <c r="C76" s="63"/>
      <c r="D76" s="63"/>
      <c r="E76" s="63"/>
      <c r="F76" s="63"/>
      <c r="G76" s="55"/>
      <c r="H76" s="63"/>
      <c r="I76" s="63"/>
      <c r="J76" s="7"/>
    </row>
    <row r="77" customFormat="false" ht="15" hidden="false" customHeight="false" outlineLevel="0" collapsed="false">
      <c r="A77" s="87"/>
      <c r="B77" s="63"/>
      <c r="C77" s="63"/>
      <c r="D77" s="63"/>
      <c r="E77" s="63"/>
      <c r="F77" s="63"/>
      <c r="G77" s="55"/>
      <c r="H77" s="63"/>
      <c r="I77" s="63"/>
      <c r="J77" s="49"/>
    </row>
    <row r="78" customFormat="false" ht="15" hidden="false" customHeight="false" outlineLevel="0" collapsed="false">
      <c r="A78" s="87"/>
      <c r="B78" s="63"/>
      <c r="C78" s="63"/>
      <c r="D78" s="63"/>
      <c r="E78" s="63"/>
      <c r="F78" s="63"/>
      <c r="G78" s="55"/>
      <c r="H78" s="63"/>
      <c r="I78" s="63"/>
      <c r="J78" s="7"/>
    </row>
    <row r="79" customFormat="false" ht="15" hidden="false" customHeight="false" outlineLevel="0" collapsed="false">
      <c r="A79" s="87"/>
      <c r="B79" s="63"/>
      <c r="C79" s="63"/>
      <c r="D79" s="63"/>
      <c r="E79" s="63"/>
      <c r="F79" s="63"/>
      <c r="G79" s="55"/>
      <c r="H79" s="63"/>
      <c r="I79" s="63"/>
      <c r="J79" s="49"/>
    </row>
    <row r="80" customFormat="false" ht="15" hidden="false" customHeight="false" outlineLevel="0" collapsed="false">
      <c r="A80" s="87"/>
      <c r="B80" s="63"/>
      <c r="C80" s="63"/>
      <c r="D80" s="63"/>
      <c r="E80" s="63"/>
      <c r="F80" s="63"/>
      <c r="G80" s="55"/>
      <c r="H80" s="63"/>
      <c r="I80" s="63"/>
      <c r="J80" s="7"/>
    </row>
    <row r="81" customFormat="false" ht="15" hidden="false" customHeight="false" outlineLevel="0" collapsed="false">
      <c r="A81" s="87"/>
      <c r="B81" s="63"/>
      <c r="C81" s="63"/>
      <c r="D81" s="63"/>
      <c r="E81" s="63"/>
      <c r="F81" s="63"/>
      <c r="G81" s="55"/>
      <c r="H81" s="63"/>
      <c r="I81" s="63"/>
      <c r="J81" s="49"/>
    </row>
    <row r="82" customFormat="false" ht="15" hidden="false" customHeight="false" outlineLevel="0" collapsed="false">
      <c r="A82" s="87"/>
      <c r="B82" s="63"/>
      <c r="C82" s="63"/>
      <c r="D82" s="63"/>
      <c r="E82" s="63"/>
      <c r="F82" s="63"/>
      <c r="G82" s="55"/>
      <c r="H82" s="63"/>
      <c r="I82" s="63"/>
      <c r="J82" s="7"/>
    </row>
    <row r="83" customFormat="false" ht="15" hidden="false" customHeight="false" outlineLevel="0" collapsed="false">
      <c r="A83" s="87"/>
      <c r="B83" s="63"/>
      <c r="C83" s="63"/>
      <c r="D83" s="63"/>
      <c r="E83" s="63"/>
      <c r="F83" s="63"/>
      <c r="G83" s="55"/>
      <c r="H83" s="63"/>
      <c r="I83" s="63"/>
      <c r="J83" s="49"/>
    </row>
    <row r="84" customFormat="false" ht="15" hidden="false" customHeight="false" outlineLevel="0" collapsed="false">
      <c r="A84" s="87"/>
      <c r="B84" s="63"/>
      <c r="C84" s="63"/>
      <c r="D84" s="63"/>
      <c r="E84" s="63"/>
      <c r="F84" s="63"/>
      <c r="G84" s="55"/>
      <c r="H84" s="63"/>
      <c r="I84" s="63"/>
      <c r="J84" s="7"/>
    </row>
    <row r="85" customFormat="false" ht="15" hidden="false" customHeight="false" outlineLevel="0" collapsed="false">
      <c r="A85" s="87"/>
      <c r="B85" s="63"/>
      <c r="C85" s="63"/>
      <c r="D85" s="63"/>
      <c r="E85" s="63"/>
      <c r="F85" s="63"/>
      <c r="G85" s="55"/>
      <c r="H85" s="63"/>
      <c r="I85" s="63"/>
      <c r="J85" s="49"/>
    </row>
    <row r="86" customFormat="false" ht="15" hidden="false" customHeight="false" outlineLevel="0" collapsed="false">
      <c r="A86" s="87"/>
      <c r="B86" s="63"/>
      <c r="C86" s="63"/>
      <c r="D86" s="63"/>
      <c r="E86" s="63"/>
      <c r="F86" s="63"/>
      <c r="G86" s="55"/>
      <c r="H86" s="63"/>
      <c r="I86" s="63"/>
      <c r="J86" s="7"/>
    </row>
    <row r="87" customFormat="false" ht="15" hidden="false" customHeight="false" outlineLevel="0" collapsed="false">
      <c r="A87" s="87"/>
      <c r="B87" s="63"/>
      <c r="C87" s="63"/>
      <c r="D87" s="63"/>
      <c r="E87" s="63"/>
      <c r="F87" s="63"/>
      <c r="G87" s="55"/>
      <c r="H87" s="63"/>
      <c r="I87" s="63"/>
      <c r="J87" s="49"/>
    </row>
    <row r="88" customFormat="false" ht="15" hidden="false" customHeight="false" outlineLevel="0" collapsed="false">
      <c r="A88" s="87"/>
      <c r="B88" s="63"/>
      <c r="C88" s="63"/>
      <c r="D88" s="63"/>
      <c r="E88" s="63"/>
      <c r="F88" s="63"/>
      <c r="G88" s="55"/>
      <c r="H88" s="63"/>
      <c r="I88" s="63"/>
      <c r="J88" s="7"/>
    </row>
    <row r="89" customFormat="false" ht="15" hidden="false" customHeight="false" outlineLevel="0" collapsed="false">
      <c r="A89" s="87"/>
      <c r="B89" s="63"/>
      <c r="C89" s="63"/>
      <c r="D89" s="63"/>
      <c r="E89" s="63"/>
      <c r="F89" s="63"/>
      <c r="G89" s="55"/>
      <c r="H89" s="63"/>
      <c r="I89" s="63"/>
      <c r="J89" s="49"/>
    </row>
    <row r="90" customFormat="false" ht="15" hidden="false" customHeight="false" outlineLevel="0" collapsed="false">
      <c r="A90" s="87"/>
      <c r="B90" s="63"/>
      <c r="C90" s="63"/>
      <c r="D90" s="63"/>
      <c r="E90" s="63"/>
      <c r="F90" s="63"/>
      <c r="G90" s="55"/>
      <c r="H90" s="63"/>
      <c r="I90" s="63"/>
      <c r="J90" s="7"/>
    </row>
    <row r="91" customFormat="false" ht="15" hidden="false" customHeight="false" outlineLevel="0" collapsed="false">
      <c r="A91" s="87"/>
      <c r="B91" s="63"/>
      <c r="C91" s="63"/>
      <c r="D91" s="63"/>
      <c r="E91" s="63"/>
      <c r="F91" s="63"/>
      <c r="G91" s="55"/>
      <c r="H91" s="63"/>
      <c r="I91" s="63"/>
      <c r="J91" s="49"/>
    </row>
    <row r="92" customFormat="false" ht="15" hidden="false" customHeight="false" outlineLevel="0" collapsed="false">
      <c r="A92" s="87"/>
      <c r="B92" s="63"/>
      <c r="C92" s="63"/>
      <c r="D92" s="63"/>
      <c r="E92" s="63"/>
      <c r="F92" s="63"/>
      <c r="G92" s="55"/>
      <c r="H92" s="63"/>
      <c r="I92" s="63"/>
      <c r="J92" s="7"/>
    </row>
    <row r="93" customFormat="false" ht="15" hidden="false" customHeight="false" outlineLevel="0" collapsed="false">
      <c r="A93" s="87"/>
      <c r="B93" s="63"/>
      <c r="C93" s="63"/>
      <c r="D93" s="63"/>
      <c r="E93" s="63"/>
      <c r="F93" s="63"/>
      <c r="G93" s="55"/>
      <c r="H93" s="63"/>
      <c r="I93" s="63"/>
      <c r="J93" s="49"/>
    </row>
    <row r="94" customFormat="false" ht="15" hidden="false" customHeight="false" outlineLevel="0" collapsed="false">
      <c r="A94" s="87"/>
      <c r="B94" s="63"/>
      <c r="C94" s="63"/>
      <c r="D94" s="63"/>
      <c r="E94" s="63"/>
      <c r="F94" s="63"/>
      <c r="G94" s="55"/>
      <c r="H94" s="63"/>
      <c r="I94" s="63"/>
      <c r="J94" s="7"/>
    </row>
    <row r="95" customFormat="false" ht="15" hidden="false" customHeight="false" outlineLevel="0" collapsed="false">
      <c r="A95" s="87"/>
      <c r="B95" s="63"/>
      <c r="C95" s="63"/>
      <c r="D95" s="63"/>
      <c r="E95" s="63"/>
      <c r="F95" s="63"/>
      <c r="G95" s="55"/>
      <c r="H95" s="63"/>
      <c r="I95" s="63"/>
      <c r="J95" s="49"/>
    </row>
    <row r="96" customFormat="false" ht="15" hidden="false" customHeight="false" outlineLevel="0" collapsed="false">
      <c r="A96" s="87"/>
      <c r="B96" s="63"/>
      <c r="C96" s="63"/>
      <c r="D96" s="63"/>
      <c r="E96" s="63"/>
      <c r="F96" s="63"/>
      <c r="G96" s="55"/>
      <c r="H96" s="63"/>
      <c r="I96" s="63"/>
      <c r="J96" s="7"/>
    </row>
    <row r="97" customFormat="false" ht="15" hidden="false" customHeight="false" outlineLevel="0" collapsed="false">
      <c r="A97" s="87"/>
      <c r="B97" s="63"/>
      <c r="C97" s="63"/>
      <c r="D97" s="63"/>
      <c r="E97" s="63"/>
      <c r="F97" s="63"/>
      <c r="G97" s="55"/>
      <c r="H97" s="63"/>
      <c r="I97" s="63"/>
      <c r="J97" s="49"/>
    </row>
    <row r="98" customFormat="false" ht="15" hidden="false" customHeight="false" outlineLevel="0" collapsed="false">
      <c r="A98" s="87"/>
      <c r="B98" s="63"/>
      <c r="C98" s="63"/>
      <c r="D98" s="63"/>
      <c r="E98" s="63"/>
      <c r="F98" s="63"/>
      <c r="G98" s="55"/>
      <c r="H98" s="63"/>
      <c r="I98" s="63"/>
      <c r="J98" s="7"/>
    </row>
    <row r="99" customFormat="false" ht="15" hidden="false" customHeight="false" outlineLevel="0" collapsed="false">
      <c r="A99" s="87"/>
      <c r="B99" s="63"/>
      <c r="C99" s="63"/>
      <c r="D99" s="63"/>
      <c r="E99" s="63"/>
      <c r="F99" s="63"/>
      <c r="G99" s="55"/>
      <c r="H99" s="63"/>
      <c r="I99" s="63"/>
      <c r="J99" s="49"/>
    </row>
    <row r="100" customFormat="false" ht="15" hidden="false" customHeight="false" outlineLevel="0" collapsed="false">
      <c r="A100" s="87"/>
      <c r="B100" s="63"/>
      <c r="C100" s="63"/>
      <c r="D100" s="63"/>
      <c r="E100" s="63"/>
      <c r="F100" s="63"/>
      <c r="G100" s="55"/>
      <c r="H100" s="63"/>
      <c r="I100" s="63"/>
      <c r="J100" s="7"/>
    </row>
    <row r="101" customFormat="false" ht="15" hidden="false" customHeight="false" outlineLevel="0" collapsed="false">
      <c r="A101" s="87"/>
      <c r="B101" s="63"/>
      <c r="C101" s="63"/>
      <c r="D101" s="63"/>
      <c r="E101" s="63"/>
      <c r="F101" s="63"/>
      <c r="G101" s="55"/>
      <c r="H101" s="63"/>
      <c r="I101" s="63"/>
      <c r="J101" s="49"/>
    </row>
    <row r="102" customFormat="false" ht="15" hidden="false" customHeight="false" outlineLevel="0" collapsed="false">
      <c r="A102" s="87"/>
      <c r="B102" s="63"/>
      <c r="C102" s="63"/>
      <c r="D102" s="63"/>
      <c r="E102" s="63"/>
      <c r="F102" s="63"/>
      <c r="G102" s="55"/>
      <c r="H102" s="63"/>
      <c r="I102" s="63"/>
      <c r="J102" s="7"/>
    </row>
    <row r="103" customFormat="false" ht="15" hidden="false" customHeight="false" outlineLevel="0" collapsed="false">
      <c r="A103" s="87"/>
      <c r="B103" s="63"/>
      <c r="C103" s="63"/>
      <c r="D103" s="63"/>
      <c r="E103" s="63"/>
      <c r="F103" s="63"/>
      <c r="G103" s="55"/>
      <c r="H103" s="63"/>
      <c r="I103" s="63"/>
      <c r="J103" s="49"/>
    </row>
    <row r="104" customFormat="false" ht="15" hidden="false" customHeight="false" outlineLevel="0" collapsed="false">
      <c r="A104" s="87"/>
      <c r="B104" s="63"/>
      <c r="C104" s="63"/>
      <c r="D104" s="63"/>
      <c r="E104" s="63"/>
      <c r="F104" s="63"/>
      <c r="G104" s="55"/>
      <c r="H104" s="63"/>
      <c r="I104" s="63"/>
      <c r="J104" s="7"/>
    </row>
    <row r="105" customFormat="false" ht="15" hidden="false" customHeight="false" outlineLevel="0" collapsed="false">
      <c r="A105" s="87"/>
      <c r="B105" s="63"/>
      <c r="C105" s="63"/>
      <c r="D105" s="63"/>
      <c r="E105" s="63"/>
      <c r="F105" s="63"/>
      <c r="G105" s="55"/>
      <c r="H105" s="63"/>
      <c r="I105" s="63"/>
      <c r="J105" s="49"/>
    </row>
    <row r="108" customFormat="false" ht="24" hidden="false" customHeight="true" outlineLevel="0" collapsed="false">
      <c r="A108" s="3" t="s">
        <v>464</v>
      </c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30" hidden="false" customHeight="true" outlineLevel="0" collapsed="false">
      <c r="A109" s="4" t="s">
        <v>460</v>
      </c>
      <c r="B109" s="4" t="s">
        <v>465</v>
      </c>
      <c r="C109" s="4" t="s">
        <v>466</v>
      </c>
      <c r="D109" s="4" t="s">
        <v>461</v>
      </c>
      <c r="E109" s="4" t="s">
        <v>58</v>
      </c>
      <c r="F109" s="4"/>
      <c r="G109" s="4"/>
      <c r="H109" s="4"/>
      <c r="I109" s="4"/>
      <c r="J109" s="4"/>
    </row>
    <row r="110" customFormat="false" ht="15" hidden="false" customHeight="false" outlineLevel="0" collapsed="false">
      <c r="A110" s="5" t="s">
        <v>467</v>
      </c>
      <c r="B110" s="18" t="n">
        <f aca="false">COUNTIF(F6:F105,"Annual Leave")</f>
        <v>0</v>
      </c>
      <c r="C110" s="18" t="n">
        <f aca="false">B110</f>
        <v>0</v>
      </c>
      <c r="D110" s="18" t="n">
        <f aca="false">SUMIF(F6:F105,"Annual Leave",G6:G105)</f>
        <v>0</v>
      </c>
      <c r="E110" s="19" t="n">
        <f aca="false">IF(B115&gt;0,B110/B115,0)</f>
        <v>0</v>
      </c>
    </row>
    <row r="111" customFormat="false" ht="15" hidden="false" customHeight="false" outlineLevel="0" collapsed="false">
      <c r="A111" s="5" t="s">
        <v>468</v>
      </c>
      <c r="B111" s="18" t="n">
        <f aca="false">COUNTIF(F6:F105,"Sickness")</f>
        <v>0</v>
      </c>
      <c r="C111" s="18" t="n">
        <f aca="false">B111</f>
        <v>0</v>
      </c>
      <c r="D111" s="18" t="n">
        <f aca="false">SUMIF(F6:F105,"Sickness",G6:G105)</f>
        <v>0</v>
      </c>
      <c r="E111" s="19" t="n">
        <f aca="false">IF(B115&gt;0,B111/B115,0)</f>
        <v>0</v>
      </c>
    </row>
    <row r="112" customFormat="false" ht="15" hidden="false" customHeight="false" outlineLevel="0" collapsed="false">
      <c r="A112" s="5" t="s">
        <v>469</v>
      </c>
      <c r="B112" s="18" t="n">
        <f aca="false">COUNTIF(F6:F105,"PLT")</f>
        <v>0</v>
      </c>
      <c r="C112" s="18" t="n">
        <f aca="false">B112</f>
        <v>0</v>
      </c>
      <c r="D112" s="18" t="n">
        <f aca="false">SUMIF(F6:F105,"PLT",G6:G105)</f>
        <v>0</v>
      </c>
      <c r="E112" s="19" t="n">
        <f aca="false">IF(B115&gt;0,B112/B115,0)</f>
        <v>0</v>
      </c>
    </row>
    <row r="113" customFormat="false" ht="15" hidden="false" customHeight="false" outlineLevel="0" collapsed="false">
      <c r="A113" s="5" t="s">
        <v>470</v>
      </c>
      <c r="B113" s="18" t="n">
        <f aca="false">COUNTIF(F6:F105,"Study Leave")</f>
        <v>0</v>
      </c>
      <c r="C113" s="18" t="n">
        <f aca="false">B113</f>
        <v>0</v>
      </c>
      <c r="D113" s="18" t="n">
        <f aca="false">SUMIF(F6:F105,"Study Leave",G6:G105)</f>
        <v>0</v>
      </c>
      <c r="E113" s="19" t="n">
        <f aca="false">IF(B115&gt;0,B113/B115,0)</f>
        <v>0</v>
      </c>
    </row>
    <row r="114" customFormat="false" ht="15" hidden="false" customHeight="false" outlineLevel="0" collapsed="false">
      <c r="A114" s="5" t="s">
        <v>471</v>
      </c>
      <c r="B114" s="18" t="n">
        <f aca="false">COUNTIF(F6:F105,"Other")</f>
        <v>0</v>
      </c>
      <c r="C114" s="18" t="n">
        <f aca="false">B114</f>
        <v>0</v>
      </c>
      <c r="D114" s="18" t="n">
        <f aca="false">SUMIF(F6:F105,"Other",G6:G105)</f>
        <v>0</v>
      </c>
      <c r="E114" s="19" t="n">
        <f aca="false">IF(B115&gt;0,B114/B115,0)</f>
        <v>0</v>
      </c>
    </row>
    <row r="115" customFormat="false" ht="15" hidden="false" customHeight="false" outlineLevel="0" collapsed="false">
      <c r="A115" s="20" t="s">
        <v>70</v>
      </c>
      <c r="B115" s="21" t="n">
        <f aca="false">SUM(B110:B114)</f>
        <v>0</v>
      </c>
      <c r="C115" s="21" t="n">
        <f aca="false">SUM(C110:C114)</f>
        <v>0</v>
      </c>
      <c r="D115" s="21" t="n">
        <f aca="false">SUM(D110:D114)</f>
        <v>0</v>
      </c>
    </row>
    <row r="118" customFormat="false" ht="24" hidden="false" customHeight="true" outlineLevel="0" collapsed="false">
      <c r="A118" s="3" t="s">
        <v>472</v>
      </c>
      <c r="B118" s="3"/>
      <c r="C118" s="3"/>
      <c r="D118" s="3"/>
      <c r="E118" s="3"/>
      <c r="F118" s="3"/>
      <c r="G118" s="3"/>
      <c r="H118" s="3"/>
      <c r="I118" s="3"/>
      <c r="J118" s="3"/>
    </row>
    <row r="119" customFormat="false" ht="30" hidden="false" customHeight="true" outlineLevel="0" collapsed="false">
      <c r="A119" s="4" t="s">
        <v>54</v>
      </c>
      <c r="B119" s="4" t="s">
        <v>473</v>
      </c>
      <c r="C119" s="4" t="s">
        <v>461</v>
      </c>
      <c r="D119" s="4" t="s">
        <v>467</v>
      </c>
      <c r="E119" s="4" t="s">
        <v>468</v>
      </c>
      <c r="F119" s="4" t="s">
        <v>469</v>
      </c>
      <c r="G119" s="4" t="s">
        <v>470</v>
      </c>
      <c r="H119" s="4" t="s">
        <v>471</v>
      </c>
      <c r="I119" s="4"/>
      <c r="J119" s="4"/>
    </row>
    <row r="120" customFormat="false" ht="15" hidden="false" customHeight="false" outlineLevel="0" collapsed="false">
      <c r="A120" s="5" t="s">
        <v>59</v>
      </c>
      <c r="B120" s="18" t="n">
        <f aca="false">COUNTIF(C6:C105,A120)</f>
        <v>0</v>
      </c>
      <c r="C120" s="18" t="n">
        <f aca="false">SUMIF(C6:C105,A120,G6:G105)</f>
        <v>0</v>
      </c>
      <c r="D120" s="18" t="n">
        <f aca="false">COUNTIFS(C6:C105,A120,F6:F105,"Annual Leave")</f>
        <v>0</v>
      </c>
      <c r="E120" s="18" t="n">
        <f aca="false">COUNTIFS(C6:C105,A120,F6:F105,"Sickness")</f>
        <v>0</v>
      </c>
      <c r="F120" s="18" t="n">
        <f aca="false">COUNTIFS(C6:C105,A120,F6:F105,"PLT")</f>
        <v>0</v>
      </c>
      <c r="G120" s="18" t="n">
        <f aca="false">COUNTIFS(C6:C105,A120,F6:F105,"Study Leave")</f>
        <v>0</v>
      </c>
      <c r="H120" s="18" t="n">
        <f aca="false">COUNTIFS(C6:C105,A120,F6:F105,"Other")</f>
        <v>0</v>
      </c>
    </row>
    <row r="121" customFormat="false" ht="15" hidden="false" customHeight="false" outlineLevel="0" collapsed="false">
      <c r="A121" s="5" t="s">
        <v>62</v>
      </c>
      <c r="B121" s="18" t="n">
        <f aca="false">COUNTIF(C6:C105,A121)</f>
        <v>0</v>
      </c>
      <c r="C121" s="18" t="n">
        <f aca="false">SUMIF(C6:C105,A121,G6:G105)</f>
        <v>0</v>
      </c>
      <c r="D121" s="18" t="n">
        <f aca="false">COUNTIFS(C6:C105,A121,F6:F105,"Annual Leave")</f>
        <v>0</v>
      </c>
      <c r="E121" s="18" t="n">
        <f aca="false">COUNTIFS(C6:C105,A121,F6:F105,"Sickness")</f>
        <v>0</v>
      </c>
      <c r="F121" s="18" t="n">
        <f aca="false">COUNTIFS(C6:C105,A121,F6:F105,"PLT")</f>
        <v>0</v>
      </c>
      <c r="G121" s="18" t="n">
        <f aca="false">COUNTIFS(C6:C105,A121,F6:F105,"Study Leave")</f>
        <v>0</v>
      </c>
      <c r="H121" s="18" t="n">
        <f aca="false">COUNTIFS(C6:C105,A121,F6:F105,"Other")</f>
        <v>0</v>
      </c>
    </row>
    <row r="122" customFormat="false" ht="15" hidden="false" customHeight="false" outlineLevel="0" collapsed="false">
      <c r="A122" s="5" t="s">
        <v>63</v>
      </c>
      <c r="B122" s="18" t="n">
        <f aca="false">COUNTIF(C6:C105,A122)</f>
        <v>0</v>
      </c>
      <c r="C122" s="18" t="n">
        <f aca="false">SUMIF(C6:C105,A122,G6:G105)</f>
        <v>0</v>
      </c>
      <c r="D122" s="18" t="n">
        <f aca="false">COUNTIFS(C6:C105,A122,F6:F105,"Annual Leave")</f>
        <v>0</v>
      </c>
      <c r="E122" s="18" t="n">
        <f aca="false">COUNTIFS(C6:C105,A122,F6:F105,"Sickness")</f>
        <v>0</v>
      </c>
      <c r="F122" s="18" t="n">
        <f aca="false">COUNTIFS(C6:C105,A122,F6:F105,"PLT")</f>
        <v>0</v>
      </c>
      <c r="G122" s="18" t="n">
        <f aca="false">COUNTIFS(C6:C105,A122,F6:F105,"Study Leave")</f>
        <v>0</v>
      </c>
      <c r="H122" s="18" t="n">
        <f aca="false">COUNTIFS(C6:C105,A122,F6:F105,"Other")</f>
        <v>0</v>
      </c>
    </row>
    <row r="123" customFormat="false" ht="15" hidden="false" customHeight="false" outlineLevel="0" collapsed="false">
      <c r="A123" s="5" t="s">
        <v>66</v>
      </c>
      <c r="B123" s="18" t="n">
        <f aca="false">COUNTIF(C6:C105,A123)</f>
        <v>0</v>
      </c>
      <c r="C123" s="18" t="n">
        <f aca="false">SUMIF(C6:C105,A123,G6:G105)</f>
        <v>0</v>
      </c>
      <c r="D123" s="18" t="n">
        <f aca="false">COUNTIFS(C6:C105,A123,F6:F105,"Annual Leave")</f>
        <v>0</v>
      </c>
      <c r="E123" s="18" t="n">
        <f aca="false">COUNTIFS(C6:C105,A123,F6:F105,"Sickness")</f>
        <v>0</v>
      </c>
      <c r="F123" s="18" t="n">
        <f aca="false">COUNTIFS(C6:C105,A123,F6:F105,"PLT")</f>
        <v>0</v>
      </c>
      <c r="G123" s="18" t="n">
        <f aca="false">COUNTIFS(C6:C105,A123,F6:F105,"Study Leave")</f>
        <v>0</v>
      </c>
      <c r="H123" s="18" t="n">
        <f aca="false">COUNTIFS(C6:C105,A123,F6:F105,"Other")</f>
        <v>0</v>
      </c>
    </row>
    <row r="124" customFormat="false" ht="15" hidden="false" customHeight="false" outlineLevel="0" collapsed="false">
      <c r="A124" s="5" t="s">
        <v>67</v>
      </c>
      <c r="B124" s="18" t="n">
        <f aca="false">COUNTIF(C6:C105,A124)</f>
        <v>0</v>
      </c>
      <c r="C124" s="18" t="n">
        <f aca="false">SUMIF(C6:C105,A124,G6:G105)</f>
        <v>0</v>
      </c>
      <c r="D124" s="18" t="n">
        <f aca="false">COUNTIFS(C6:C105,A124,F6:F105,"Annual Leave")</f>
        <v>0</v>
      </c>
      <c r="E124" s="18" t="n">
        <f aca="false">COUNTIFS(C6:C105,A124,F6:F105,"Sickness")</f>
        <v>0</v>
      </c>
      <c r="F124" s="18" t="n">
        <f aca="false">COUNTIFS(C6:C105,A124,F6:F105,"PLT")</f>
        <v>0</v>
      </c>
      <c r="G124" s="18" t="n">
        <f aca="false">COUNTIFS(C6:C105,A124,F6:F105,"Study Leave")</f>
        <v>0</v>
      </c>
      <c r="H124" s="18" t="n">
        <f aca="false">COUNTIFS(C6:C105,A124,F6:F105,"Other")</f>
        <v>0</v>
      </c>
    </row>
    <row r="125" customFormat="false" ht="15" hidden="false" customHeight="false" outlineLevel="0" collapsed="false">
      <c r="A125" s="5" t="s">
        <v>68</v>
      </c>
      <c r="B125" s="18" t="n">
        <f aca="false">COUNTIF(C6:C105,A125)</f>
        <v>0</v>
      </c>
      <c r="C125" s="18" t="n">
        <f aca="false">SUMIF(C6:C105,A125,G6:G105)</f>
        <v>0</v>
      </c>
      <c r="D125" s="18" t="n">
        <f aca="false">COUNTIFS(C6:C105,A125,F6:F105,"Annual Leave")</f>
        <v>0</v>
      </c>
      <c r="E125" s="18" t="n">
        <f aca="false">COUNTIFS(C6:C105,A125,F6:F105,"Sickness")</f>
        <v>0</v>
      </c>
      <c r="F125" s="18" t="n">
        <f aca="false">COUNTIFS(C6:C105,A125,F6:F105,"PLT")</f>
        <v>0</v>
      </c>
      <c r="G125" s="18" t="n">
        <f aca="false">COUNTIFS(C6:C105,A125,F6:F105,"Study Leave")</f>
        <v>0</v>
      </c>
      <c r="H125" s="18" t="n">
        <f aca="false">COUNTIFS(C6:C105,A125,F6:F105,"Other")</f>
        <v>0</v>
      </c>
    </row>
    <row r="126" customFormat="false" ht="15" hidden="false" customHeight="false" outlineLevel="0" collapsed="false">
      <c r="A126" s="5" t="s">
        <v>69</v>
      </c>
      <c r="B126" s="18" t="n">
        <f aca="false">COUNTIF(C6:C105,A126)</f>
        <v>0</v>
      </c>
      <c r="C126" s="18" t="n">
        <f aca="false">SUMIF(C6:C105,A126,G6:G105)</f>
        <v>0</v>
      </c>
      <c r="D126" s="18" t="n">
        <f aca="false">COUNTIFS(C6:C105,A126,F6:F105,"Annual Leave")</f>
        <v>0</v>
      </c>
      <c r="E126" s="18" t="n">
        <f aca="false">COUNTIFS(C6:C105,A126,F6:F105,"Sickness")</f>
        <v>0</v>
      </c>
      <c r="F126" s="18" t="n">
        <f aca="false">COUNTIFS(C6:C105,A126,F6:F105,"PLT")</f>
        <v>0</v>
      </c>
      <c r="G126" s="18" t="n">
        <f aca="false">COUNTIFS(C6:C105,A126,F6:F105,"Study Leave")</f>
        <v>0</v>
      </c>
      <c r="H126" s="18" t="n">
        <f aca="false">COUNTIFS(C6:C105,A126,F6:F105,"Other")</f>
        <v>0</v>
      </c>
    </row>
    <row r="127" customFormat="false" ht="15" hidden="false" customHeight="false" outlineLevel="0" collapsed="false">
      <c r="A127" s="20" t="s">
        <v>70</v>
      </c>
      <c r="B127" s="21" t="n">
        <f aca="false">SUM(B120:B126)</f>
        <v>0</v>
      </c>
      <c r="C127" s="21" t="n">
        <f aca="false">SUM(C120:C126)</f>
        <v>0</v>
      </c>
      <c r="D127" s="21" t="n">
        <f aca="false">SUM(D120:D126)</f>
        <v>0</v>
      </c>
      <c r="E127" s="21" t="n">
        <f aca="false">SUM(E120:E126)</f>
        <v>0</v>
      </c>
      <c r="F127" s="21" t="n">
        <f aca="false">SUM(F120:F126)</f>
        <v>0</v>
      </c>
      <c r="G127" s="21" t="n">
        <f aca="false">SUM(G120:G126)</f>
        <v>0</v>
      </c>
      <c r="H127" s="21" t="n">
        <f aca="false">SUM(H120:H126)</f>
        <v>0</v>
      </c>
    </row>
  </sheetData>
  <mergeCells count="5">
    <mergeCell ref="A1:J1"/>
    <mergeCell ref="A2:J2"/>
    <mergeCell ref="A4:J4"/>
    <mergeCell ref="A108:J108"/>
    <mergeCell ref="A118:J118"/>
  </mergeCells>
  <dataValidations count="4">
    <dataValidation allowBlank="true" errorStyle="stop" operator="between" showDropDown="false" showErrorMessage="false" showInputMessage="false" sqref="F6:F105" type="list">
      <formula1>"Annual Leave,Sickness,PLT,Study Leave,Other"</formula1>
      <formula2>0</formula2>
    </dataValidation>
    <dataValidation allowBlank="true" errorStyle="stop" operator="between" showDropDown="false" showErrorMessage="false" showInputMessage="false" sqref="H6:H105" type="list">
      <formula1>"Yes,No,Partial"</formula1>
      <formula2>0</formula2>
    </dataValidation>
    <dataValidation allowBlank="true" errorStyle="stop" operator="between" showDropDown="false" showErrorMessage="false" showInputMessage="false" sqref="E6:E105" type="list">
      <formula1>"AM,PM,Evening,Full Day"</formula1>
      <formula2>0</formula2>
    </dataValidation>
    <dataValidation allowBlank="true" errorStyle="stop" operator="between" showDropDown="false" showErrorMessage="false" showInputMessage="false" sqref="C6:C105" type="list">
      <formula1>"The Parks MC,Brackley MC,Springfield Surgery,Towcester MC,Bugbrooke Surgery,Brook Health Centre,Denton Village Surgery"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2026-02-19T09:47:17Z</dcterms:created>
  <dc:creator>openpyxl</dc:creator>
  <dc:description/>
  <dc:language>en-US</dc:language>
  <cp:lastModifiedBy>RAILSON, Malcolm (NHS NORTHAMPTONSHIRE ICB - 78H)</cp:lastModifiedBy>
  <dcterms:modified xsi:type="dcterms:W3CDTF">2026-02-20T10:21:13Z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