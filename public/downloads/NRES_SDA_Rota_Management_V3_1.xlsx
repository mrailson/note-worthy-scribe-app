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malcolm_railson_nhs_net/Documents/Desktop/"/>
    </mc:Choice>
  </mc:AlternateContent>
  <xr:revisionPtr revIDLastSave="5" documentId="8_{D889C1BE-A3B8-4CA5-B781-8EA3FB30212A}" xr6:coauthVersionLast="47" xr6:coauthVersionMax="47" xr10:uidLastSave="{2F86CC3B-2E53-4123-B453-14C896C4E2D3}"/>
  <bookViews>
    <workbookView xWindow="-120" yWindow="-120" windowWidth="29040" windowHeight="15720" tabRatio="500" xr2:uid="{00000000-000D-0000-FFFF-FFFF00000000}"/>
  </bookViews>
  <sheets>
    <sheet name="Assumptions" sheetId="1" r:id="rId1"/>
    <sheet name="Practice Allocations" sheetId="2" r:id="rId2"/>
    <sheet name="Room Capacity" sheetId="3" r:id="rId3"/>
    <sheet name="Weekly Rota" sheetId="4" r:id="rId4"/>
    <sheet name="Buy-Back Tracker" sheetId="5" r:id="rId5"/>
    <sheet name="Cash Flow" sheetId="6" r:id="rId6"/>
    <sheet name="Compliance Tracker" sheetId="7" r:id="rId7"/>
    <sheet name="Workforce" sheetId="8" r:id="rId8"/>
    <sheet name="Practice Contacts" sheetId="9" r:id="rId9"/>
    <sheet name="Monthly Rota" sheetId="10" r:id="rId10"/>
    <sheet name="Audit Log" sheetId="11" r:id="rId11"/>
    <sheet name="Parks" sheetId="12" r:id="rId12"/>
    <sheet name="Brackley" sheetId="13" r:id="rId13"/>
    <sheet name="Springfield" sheetId="14" r:id="rId14"/>
    <sheet name="Towcester" sheetId="15" r:id="rId15"/>
    <sheet name="Bugbrooke" sheetId="16" r:id="rId16"/>
    <sheet name="Brook" sheetId="17" r:id="rId17"/>
    <sheet name="Denton" sheetId="18" r:id="rId18"/>
    <sheet name="DNA Tracking" sheetId="19" r:id="rId19"/>
    <sheet name="Absence Tracker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6" i="20" l="1"/>
  <c r="G126" i="20"/>
  <c r="F126" i="20"/>
  <c r="E126" i="20"/>
  <c r="D126" i="20"/>
  <c r="C126" i="20"/>
  <c r="B126" i="20"/>
  <c r="H125" i="20"/>
  <c r="G125" i="20"/>
  <c r="F125" i="20"/>
  <c r="E125" i="20"/>
  <c r="D125" i="20"/>
  <c r="C125" i="20"/>
  <c r="B125" i="20"/>
  <c r="H124" i="20"/>
  <c r="G124" i="20"/>
  <c r="F124" i="20"/>
  <c r="E124" i="20"/>
  <c r="D124" i="20"/>
  <c r="C124" i="20"/>
  <c r="B124" i="20"/>
  <c r="H123" i="20"/>
  <c r="G123" i="20"/>
  <c r="F123" i="20"/>
  <c r="E123" i="20"/>
  <c r="D123" i="20"/>
  <c r="C123" i="20"/>
  <c r="B123" i="20"/>
  <c r="H122" i="20"/>
  <c r="G122" i="20"/>
  <c r="F122" i="20"/>
  <c r="E122" i="20"/>
  <c r="D122" i="20"/>
  <c r="C122" i="20"/>
  <c r="B122" i="20"/>
  <c r="H121" i="20"/>
  <c r="G121" i="20"/>
  <c r="F121" i="20"/>
  <c r="E121" i="20"/>
  <c r="D121" i="20"/>
  <c r="C121" i="20"/>
  <c r="B121" i="20"/>
  <c r="H120" i="20"/>
  <c r="H127" i="20" s="1"/>
  <c r="G120" i="20"/>
  <c r="G127" i="20" s="1"/>
  <c r="F120" i="20"/>
  <c r="F127" i="20" s="1"/>
  <c r="E120" i="20"/>
  <c r="E127" i="20" s="1"/>
  <c r="D120" i="20"/>
  <c r="D127" i="20" s="1"/>
  <c r="C120" i="20"/>
  <c r="C127" i="20" s="1"/>
  <c r="B120" i="20"/>
  <c r="B127" i="20" s="1"/>
  <c r="D114" i="20"/>
  <c r="B114" i="20"/>
  <c r="C114" i="20" s="1"/>
  <c r="D113" i="20"/>
  <c r="C113" i="20"/>
  <c r="B113" i="20"/>
  <c r="D112" i="20"/>
  <c r="D115" i="20" s="1"/>
  <c r="C112" i="20"/>
  <c r="B112" i="20"/>
  <c r="D111" i="20"/>
  <c r="C111" i="20"/>
  <c r="B111" i="20"/>
  <c r="D110" i="20"/>
  <c r="C110" i="20"/>
  <c r="B110" i="20"/>
  <c r="B115" i="20" s="1"/>
  <c r="C67" i="19"/>
  <c r="C66" i="19"/>
  <c r="B66" i="19"/>
  <c r="D66" i="19" s="1"/>
  <c r="C65" i="19"/>
  <c r="B65" i="19"/>
  <c r="D65" i="19" s="1"/>
  <c r="C64" i="19"/>
  <c r="B64" i="19"/>
  <c r="D64" i="19" s="1"/>
  <c r="D63" i="19"/>
  <c r="C63" i="19"/>
  <c r="B63" i="19"/>
  <c r="D62" i="19"/>
  <c r="C62" i="19"/>
  <c r="B62" i="19"/>
  <c r="C61" i="19"/>
  <c r="B61" i="19"/>
  <c r="D61" i="19" s="1"/>
  <c r="D60" i="19"/>
  <c r="C60" i="19"/>
  <c r="B60" i="19"/>
  <c r="B67" i="19" s="1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E79" i="18"/>
  <c r="D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79" i="18" s="1"/>
  <c r="C63" i="18"/>
  <c r="G62" i="18"/>
  <c r="I62" i="18" s="1"/>
  <c r="E62" i="18"/>
  <c r="F62" i="18" s="1"/>
  <c r="E61" i="18"/>
  <c r="G61" i="18" s="1"/>
  <c r="I61" i="18" s="1"/>
  <c r="E60" i="18"/>
  <c r="G60" i="18" s="1"/>
  <c r="I60" i="18" s="1"/>
  <c r="G59" i="18"/>
  <c r="I59" i="18" s="1"/>
  <c r="E59" i="18"/>
  <c r="F59" i="18" s="1"/>
  <c r="E58" i="18"/>
  <c r="G58" i="18" s="1"/>
  <c r="D54" i="18"/>
  <c r="J53" i="18"/>
  <c r="H53" i="18"/>
  <c r="I53" i="18" s="1"/>
  <c r="F53" i="18"/>
  <c r="H52" i="18"/>
  <c r="J52" i="18" s="1"/>
  <c r="F52" i="18"/>
  <c r="H51" i="18"/>
  <c r="J51" i="18" s="1"/>
  <c r="F51" i="18"/>
  <c r="J50" i="18"/>
  <c r="H50" i="18"/>
  <c r="I50" i="18" s="1"/>
  <c r="F50" i="18"/>
  <c r="H49" i="18"/>
  <c r="J49" i="18" s="1"/>
  <c r="F49" i="18"/>
  <c r="H48" i="18"/>
  <c r="J48" i="18" s="1"/>
  <c r="F48" i="18"/>
  <c r="J47" i="18"/>
  <c r="H47" i="18"/>
  <c r="I47" i="18" s="1"/>
  <c r="F47" i="18"/>
  <c r="H46" i="18"/>
  <c r="J46" i="18" s="1"/>
  <c r="F46" i="18"/>
  <c r="H45" i="18"/>
  <c r="J45" i="18" s="1"/>
  <c r="F45" i="18"/>
  <c r="H44" i="18"/>
  <c r="H54" i="18" s="1"/>
  <c r="F44" i="18"/>
  <c r="F54" i="18" s="1"/>
  <c r="J39" i="18"/>
  <c r="I39" i="18"/>
  <c r="E39" i="18"/>
  <c r="D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B85" i="18" s="1"/>
  <c r="B22" i="18"/>
  <c r="B21" i="18"/>
  <c r="B20" i="18"/>
  <c r="B6" i="18"/>
  <c r="B5" i="18"/>
  <c r="E79" i="17"/>
  <c r="D79" i="17"/>
  <c r="F78" i="17"/>
  <c r="F77" i="17"/>
  <c r="F76" i="17"/>
  <c r="F75" i="17"/>
  <c r="F74" i="17"/>
  <c r="F73" i="17"/>
  <c r="F72" i="17"/>
  <c r="F71" i="17"/>
  <c r="F70" i="17"/>
  <c r="F69" i="17"/>
  <c r="F68" i="17"/>
  <c r="F79" i="17" s="1"/>
  <c r="F67" i="17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C63" i="17"/>
  <c r="E62" i="17"/>
  <c r="F62" i="17" s="1"/>
  <c r="E61" i="17"/>
  <c r="G61" i="17" s="1"/>
  <c r="I61" i="17" s="1"/>
  <c r="E60" i="17"/>
  <c r="G60" i="17" s="1"/>
  <c r="I60" i="17" s="1"/>
  <c r="E59" i="17"/>
  <c r="F59" i="17" s="1"/>
  <c r="E58" i="17"/>
  <c r="G58" i="17" s="1"/>
  <c r="F54" i="17"/>
  <c r="D54" i="17"/>
  <c r="H53" i="17"/>
  <c r="I53" i="17" s="1"/>
  <c r="F53" i="17"/>
  <c r="H52" i="17"/>
  <c r="J52" i="17" s="1"/>
  <c r="F52" i="17"/>
  <c r="H51" i="17"/>
  <c r="J51" i="17" s="1"/>
  <c r="F51" i="17"/>
  <c r="H50" i="17"/>
  <c r="I50" i="17" s="1"/>
  <c r="F50" i="17"/>
  <c r="H49" i="17"/>
  <c r="J49" i="17" s="1"/>
  <c r="F49" i="17"/>
  <c r="H48" i="17"/>
  <c r="J48" i="17" s="1"/>
  <c r="F48" i="17"/>
  <c r="H47" i="17"/>
  <c r="I47" i="17" s="1"/>
  <c r="F47" i="17"/>
  <c r="H46" i="17"/>
  <c r="J46" i="17" s="1"/>
  <c r="F46" i="17"/>
  <c r="H45" i="17"/>
  <c r="J45" i="17" s="1"/>
  <c r="F45" i="17"/>
  <c r="H44" i="17"/>
  <c r="I44" i="17" s="1"/>
  <c r="F44" i="17"/>
  <c r="J39" i="17"/>
  <c r="I39" i="17"/>
  <c r="E39" i="17"/>
  <c r="D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39" i="17" s="1"/>
  <c r="F26" i="17"/>
  <c r="B85" i="17" s="1"/>
  <c r="B21" i="17"/>
  <c r="B22" i="17" s="1"/>
  <c r="B20" i="17"/>
  <c r="B6" i="17"/>
  <c r="B5" i="17"/>
  <c r="B83" i="16"/>
  <c r="E79" i="16"/>
  <c r="D79" i="16"/>
  <c r="F78" i="16"/>
  <c r="F77" i="16"/>
  <c r="F76" i="16"/>
  <c r="F75" i="16"/>
  <c r="F74" i="16"/>
  <c r="F73" i="16"/>
  <c r="F72" i="16"/>
  <c r="F71" i="16"/>
  <c r="F70" i="16"/>
  <c r="F69" i="16"/>
  <c r="F68" i="16"/>
  <c r="G67" i="16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F67" i="16"/>
  <c r="F79" i="16" s="1"/>
  <c r="E63" i="16"/>
  <c r="C63" i="16"/>
  <c r="G62" i="16"/>
  <c r="I62" i="16" s="1"/>
  <c r="E62" i="16"/>
  <c r="F62" i="16" s="1"/>
  <c r="G61" i="16"/>
  <c r="I61" i="16" s="1"/>
  <c r="E61" i="16"/>
  <c r="F61" i="16" s="1"/>
  <c r="G60" i="16"/>
  <c r="I60" i="16" s="1"/>
  <c r="F60" i="16"/>
  <c r="E60" i="16"/>
  <c r="G59" i="16"/>
  <c r="I59" i="16" s="1"/>
  <c r="E59" i="16"/>
  <c r="F59" i="16" s="1"/>
  <c r="G58" i="16"/>
  <c r="I58" i="16" s="1"/>
  <c r="E58" i="16"/>
  <c r="F58" i="16" s="1"/>
  <c r="H54" i="16"/>
  <c r="F54" i="16"/>
  <c r="D54" i="16"/>
  <c r="J53" i="16"/>
  <c r="H53" i="16"/>
  <c r="I53" i="16" s="1"/>
  <c r="F53" i="16"/>
  <c r="J52" i="16"/>
  <c r="H52" i="16"/>
  <c r="I52" i="16" s="1"/>
  <c r="F52" i="16"/>
  <c r="J51" i="16"/>
  <c r="I51" i="16"/>
  <c r="H51" i="16"/>
  <c r="F51" i="16"/>
  <c r="J50" i="16"/>
  <c r="H50" i="16"/>
  <c r="I50" i="16" s="1"/>
  <c r="F50" i="16"/>
  <c r="J49" i="16"/>
  <c r="H49" i="16"/>
  <c r="I49" i="16" s="1"/>
  <c r="F49" i="16"/>
  <c r="J48" i="16"/>
  <c r="I48" i="16"/>
  <c r="H48" i="16"/>
  <c r="F48" i="16"/>
  <c r="J47" i="16"/>
  <c r="H47" i="16"/>
  <c r="I47" i="16" s="1"/>
  <c r="F47" i="16"/>
  <c r="J46" i="16"/>
  <c r="H46" i="16"/>
  <c r="I46" i="16" s="1"/>
  <c r="F46" i="16"/>
  <c r="J45" i="16"/>
  <c r="I45" i="16"/>
  <c r="H45" i="16"/>
  <c r="F45" i="16"/>
  <c r="J44" i="16"/>
  <c r="J54" i="16" s="1"/>
  <c r="B90" i="16" s="1"/>
  <c r="H44" i="16"/>
  <c r="I44" i="16" s="1"/>
  <c r="F44" i="16"/>
  <c r="J39" i="16"/>
  <c r="I39" i="16"/>
  <c r="F39" i="16"/>
  <c r="B88" i="16" s="1"/>
  <c r="E39" i="16"/>
  <c r="D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B85" i="16" s="1"/>
  <c r="B21" i="16"/>
  <c r="F21" i="16" s="1"/>
  <c r="B20" i="16"/>
  <c r="B6" i="16"/>
  <c r="B5" i="16"/>
  <c r="B85" i="15"/>
  <c r="E79" i="15"/>
  <c r="D79" i="15"/>
  <c r="F78" i="15"/>
  <c r="F77" i="15"/>
  <c r="F76" i="15"/>
  <c r="F75" i="15"/>
  <c r="F74" i="15"/>
  <c r="F73" i="15"/>
  <c r="F72" i="15"/>
  <c r="F71" i="15"/>
  <c r="F70" i="15"/>
  <c r="F69" i="15"/>
  <c r="G68" i="15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F68" i="15"/>
  <c r="F79" i="15" s="1"/>
  <c r="G67" i="15"/>
  <c r="F67" i="15"/>
  <c r="C63" i="15"/>
  <c r="E62" i="15"/>
  <c r="G62" i="15" s="1"/>
  <c r="I62" i="15" s="1"/>
  <c r="E61" i="15"/>
  <c r="G61" i="15" s="1"/>
  <c r="I61" i="15" s="1"/>
  <c r="E60" i="15"/>
  <c r="F60" i="15" s="1"/>
  <c r="E59" i="15"/>
  <c r="G59" i="15" s="1"/>
  <c r="I59" i="15" s="1"/>
  <c r="E58" i="15"/>
  <c r="E63" i="15" s="1"/>
  <c r="D54" i="15"/>
  <c r="H53" i="15"/>
  <c r="J53" i="15" s="1"/>
  <c r="F53" i="15"/>
  <c r="H52" i="15"/>
  <c r="J52" i="15" s="1"/>
  <c r="F52" i="15"/>
  <c r="H51" i="15"/>
  <c r="I51" i="15" s="1"/>
  <c r="F51" i="15"/>
  <c r="H50" i="15"/>
  <c r="J50" i="15" s="1"/>
  <c r="F50" i="15"/>
  <c r="H49" i="15"/>
  <c r="J49" i="15" s="1"/>
  <c r="F49" i="15"/>
  <c r="H48" i="15"/>
  <c r="I48" i="15" s="1"/>
  <c r="F48" i="15"/>
  <c r="H47" i="15"/>
  <c r="J47" i="15" s="1"/>
  <c r="F47" i="15"/>
  <c r="H46" i="15"/>
  <c r="J46" i="15" s="1"/>
  <c r="F46" i="15"/>
  <c r="F54" i="15" s="1"/>
  <c r="H45" i="15"/>
  <c r="I45" i="15" s="1"/>
  <c r="F45" i="15"/>
  <c r="H44" i="15"/>
  <c r="H54" i="15" s="1"/>
  <c r="F44" i="15"/>
  <c r="J39" i="15"/>
  <c r="I39" i="15"/>
  <c r="E39" i="15"/>
  <c r="D39" i="15"/>
  <c r="F38" i="15"/>
  <c r="F37" i="15"/>
  <c r="F36" i="15"/>
  <c r="F35" i="15"/>
  <c r="F34" i="15"/>
  <c r="F33" i="15"/>
  <c r="F32" i="15"/>
  <c r="F31" i="15"/>
  <c r="F30" i="15"/>
  <c r="F29" i="15"/>
  <c r="F28" i="15"/>
  <c r="F39" i="15" s="1"/>
  <c r="F27" i="15"/>
  <c r="F26" i="15"/>
  <c r="B22" i="15"/>
  <c r="B21" i="15"/>
  <c r="B20" i="15"/>
  <c r="B6" i="15"/>
  <c r="B5" i="15"/>
  <c r="E79" i="14"/>
  <c r="D79" i="14"/>
  <c r="F78" i="14"/>
  <c r="F77" i="14"/>
  <c r="F76" i="14"/>
  <c r="F75" i="14"/>
  <c r="F74" i="14"/>
  <c r="F73" i="14"/>
  <c r="F72" i="14"/>
  <c r="F71" i="14"/>
  <c r="F70" i="14"/>
  <c r="F69" i="14"/>
  <c r="F68" i="14"/>
  <c r="G67" i="14"/>
  <c r="G68" i="14" s="1"/>
  <c r="G69" i="14" s="1"/>
  <c r="F67" i="14"/>
  <c r="C63" i="14"/>
  <c r="E62" i="14"/>
  <c r="E61" i="14"/>
  <c r="G60" i="14"/>
  <c r="I60" i="14" s="1"/>
  <c r="E60" i="14"/>
  <c r="F60" i="14" s="1"/>
  <c r="E59" i="14"/>
  <c r="E58" i="14"/>
  <c r="D54" i="14"/>
  <c r="H53" i="14"/>
  <c r="F53" i="14"/>
  <c r="H52" i="14"/>
  <c r="F52" i="14"/>
  <c r="J51" i="14"/>
  <c r="H51" i="14"/>
  <c r="I51" i="14" s="1"/>
  <c r="F51" i="14"/>
  <c r="H50" i="14"/>
  <c r="I50" i="14" s="1"/>
  <c r="F50" i="14"/>
  <c r="H49" i="14"/>
  <c r="F49" i="14"/>
  <c r="J48" i="14"/>
  <c r="H48" i="14"/>
  <c r="I48" i="14" s="1"/>
  <c r="F48" i="14"/>
  <c r="H47" i="14"/>
  <c r="I47" i="14" s="1"/>
  <c r="F47" i="14"/>
  <c r="H46" i="14"/>
  <c r="F46" i="14"/>
  <c r="J45" i="14"/>
  <c r="I45" i="14"/>
  <c r="H45" i="14"/>
  <c r="F45" i="14"/>
  <c r="H44" i="14"/>
  <c r="F44" i="14"/>
  <c r="J39" i="14"/>
  <c r="I39" i="14"/>
  <c r="E39" i="14"/>
  <c r="D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B21" i="14"/>
  <c r="B20" i="14"/>
  <c r="B6" i="14"/>
  <c r="B5" i="14"/>
  <c r="E79" i="13"/>
  <c r="D79" i="13"/>
  <c r="F78" i="13"/>
  <c r="F77" i="13"/>
  <c r="F76" i="13"/>
  <c r="F75" i="13"/>
  <c r="F74" i="13"/>
  <c r="F73" i="13"/>
  <c r="F72" i="13"/>
  <c r="F71" i="13"/>
  <c r="F70" i="13"/>
  <c r="F69" i="13"/>
  <c r="F68" i="13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F67" i="13"/>
  <c r="G67" i="13" s="1"/>
  <c r="C63" i="13"/>
  <c r="I62" i="13"/>
  <c r="G62" i="13"/>
  <c r="F62" i="13"/>
  <c r="E62" i="13"/>
  <c r="E61" i="13"/>
  <c r="F61" i="13" s="1"/>
  <c r="E60" i="13"/>
  <c r="G60" i="13" s="1"/>
  <c r="I60" i="13" s="1"/>
  <c r="G59" i="13"/>
  <c r="I59" i="13" s="1"/>
  <c r="F59" i="13"/>
  <c r="E59" i="13"/>
  <c r="G58" i="13"/>
  <c r="I58" i="13" s="1"/>
  <c r="E58" i="13"/>
  <c r="F58" i="13" s="1"/>
  <c r="D54" i="13"/>
  <c r="J53" i="13"/>
  <c r="I53" i="13"/>
  <c r="H53" i="13"/>
  <c r="F53" i="13"/>
  <c r="H52" i="13"/>
  <c r="I52" i="13" s="1"/>
  <c r="F52" i="13"/>
  <c r="H51" i="13"/>
  <c r="J51" i="13" s="1"/>
  <c r="F51" i="13"/>
  <c r="J50" i="13"/>
  <c r="I50" i="13"/>
  <c r="H50" i="13"/>
  <c r="F50" i="13"/>
  <c r="H49" i="13"/>
  <c r="J49" i="13" s="1"/>
  <c r="F49" i="13"/>
  <c r="H48" i="13"/>
  <c r="J48" i="13" s="1"/>
  <c r="F48" i="13"/>
  <c r="J47" i="13"/>
  <c r="I47" i="13"/>
  <c r="H47" i="13"/>
  <c r="F47" i="13"/>
  <c r="H46" i="13"/>
  <c r="J46" i="13" s="1"/>
  <c r="F46" i="13"/>
  <c r="H45" i="13"/>
  <c r="J45" i="13" s="1"/>
  <c r="F45" i="13"/>
  <c r="J44" i="13"/>
  <c r="I44" i="13"/>
  <c r="H44" i="13"/>
  <c r="F44" i="13"/>
  <c r="F54" i="13" s="1"/>
  <c r="J39" i="13"/>
  <c r="I39" i="13"/>
  <c r="E39" i="13"/>
  <c r="D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B85" i="13" s="1"/>
  <c r="B21" i="13"/>
  <c r="B20" i="13"/>
  <c r="B22" i="13" s="1"/>
  <c r="B6" i="13"/>
  <c r="B5" i="13"/>
  <c r="B85" i="12"/>
  <c r="E79" i="12"/>
  <c r="D79" i="12"/>
  <c r="F78" i="12"/>
  <c r="F77" i="12"/>
  <c r="F76" i="12"/>
  <c r="B76" i="12"/>
  <c r="C76" i="12" s="1"/>
  <c r="F75" i="12"/>
  <c r="F74" i="12"/>
  <c r="F73" i="12"/>
  <c r="F72" i="12"/>
  <c r="F71" i="12"/>
  <c r="F70" i="12"/>
  <c r="F69" i="12"/>
  <c r="F79" i="12" s="1"/>
  <c r="F68" i="12"/>
  <c r="G67" i="12"/>
  <c r="G68" i="12" s="1"/>
  <c r="G69" i="12" s="1"/>
  <c r="G70" i="12" s="1"/>
  <c r="G71" i="12" s="1"/>
  <c r="G72" i="12" s="1"/>
  <c r="G73" i="12" s="1"/>
  <c r="G74" i="12" s="1"/>
  <c r="G75" i="12" s="1"/>
  <c r="G76" i="12" s="1"/>
  <c r="G77" i="12" s="1"/>
  <c r="G78" i="12" s="1"/>
  <c r="G79" i="12" s="1"/>
  <c r="F67" i="12"/>
  <c r="C63" i="12"/>
  <c r="E62" i="12"/>
  <c r="G62" i="12" s="1"/>
  <c r="I62" i="12" s="1"/>
  <c r="E61" i="12"/>
  <c r="G61" i="12" s="1"/>
  <c r="I61" i="12" s="1"/>
  <c r="E60" i="12"/>
  <c r="G60" i="12" s="1"/>
  <c r="I60" i="12" s="1"/>
  <c r="E59" i="12"/>
  <c r="G59" i="12" s="1"/>
  <c r="I59" i="12" s="1"/>
  <c r="E58" i="12"/>
  <c r="G58" i="12" s="1"/>
  <c r="F54" i="12"/>
  <c r="D54" i="12"/>
  <c r="H53" i="12"/>
  <c r="J53" i="12" s="1"/>
  <c r="F53" i="12"/>
  <c r="H52" i="12"/>
  <c r="J52" i="12" s="1"/>
  <c r="F52" i="12"/>
  <c r="H51" i="12"/>
  <c r="J51" i="12" s="1"/>
  <c r="F51" i="12"/>
  <c r="H50" i="12"/>
  <c r="J50" i="12" s="1"/>
  <c r="F50" i="12"/>
  <c r="H49" i="12"/>
  <c r="J49" i="12" s="1"/>
  <c r="F49" i="12"/>
  <c r="H48" i="12"/>
  <c r="J48" i="12" s="1"/>
  <c r="F48" i="12"/>
  <c r="H47" i="12"/>
  <c r="J47" i="12" s="1"/>
  <c r="F47" i="12"/>
  <c r="H46" i="12"/>
  <c r="J46" i="12" s="1"/>
  <c r="F46" i="12"/>
  <c r="H45" i="12"/>
  <c r="J45" i="12" s="1"/>
  <c r="F45" i="12"/>
  <c r="H44" i="12"/>
  <c r="H54" i="12" s="1"/>
  <c r="F44" i="12"/>
  <c r="J39" i="12"/>
  <c r="I39" i="12"/>
  <c r="E39" i="12"/>
  <c r="D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39" i="12" s="1"/>
  <c r="B22" i="12"/>
  <c r="B21" i="12"/>
  <c r="D20" i="12"/>
  <c r="B20" i="12"/>
  <c r="B6" i="12"/>
  <c r="B5" i="12"/>
  <c r="H25" i="10"/>
  <c r="H24" i="10"/>
  <c r="H23" i="10"/>
  <c r="H22" i="10"/>
  <c r="H21" i="10"/>
  <c r="H20" i="10"/>
  <c r="H19" i="10"/>
  <c r="H18" i="10"/>
  <c r="H17" i="10"/>
  <c r="B31" i="10" s="1"/>
  <c r="H16" i="10"/>
  <c r="H15" i="10"/>
  <c r="H14" i="10"/>
  <c r="H13" i="10"/>
  <c r="H12" i="10"/>
  <c r="H11" i="10"/>
  <c r="H10" i="10"/>
  <c r="H9" i="10"/>
  <c r="H8" i="10"/>
  <c r="B30" i="10" s="1"/>
  <c r="H7" i="10"/>
  <c r="B29" i="10" s="1"/>
  <c r="H6" i="10"/>
  <c r="B28" i="10" s="1"/>
  <c r="E34" i="8"/>
  <c r="G33" i="8"/>
  <c r="I33" i="8" s="1"/>
  <c r="G32" i="8"/>
  <c r="I32" i="8" s="1"/>
  <c r="G31" i="8"/>
  <c r="I31" i="8" s="1"/>
  <c r="I30" i="8"/>
  <c r="G30" i="8"/>
  <c r="H30" i="8" s="1"/>
  <c r="G29" i="8"/>
  <c r="I29" i="8" s="1"/>
  <c r="G28" i="8"/>
  <c r="I28" i="8" s="1"/>
  <c r="G27" i="8"/>
  <c r="I27" i="8" s="1"/>
  <c r="I26" i="8"/>
  <c r="G26" i="8"/>
  <c r="H26" i="8" s="1"/>
  <c r="G25" i="8"/>
  <c r="I25" i="8" s="1"/>
  <c r="G24" i="8"/>
  <c r="I24" i="8" s="1"/>
  <c r="G23" i="8"/>
  <c r="I23" i="8" s="1"/>
  <c r="I22" i="8"/>
  <c r="G22" i="8"/>
  <c r="H22" i="8" s="1"/>
  <c r="G21" i="8"/>
  <c r="I21" i="8" s="1"/>
  <c r="G20" i="8"/>
  <c r="I20" i="8" s="1"/>
  <c r="G19" i="8"/>
  <c r="I19" i="8" s="1"/>
  <c r="I18" i="8"/>
  <c r="G18" i="8"/>
  <c r="H18" i="8" s="1"/>
  <c r="G17" i="8"/>
  <c r="I17" i="8" s="1"/>
  <c r="G16" i="8"/>
  <c r="I16" i="8" s="1"/>
  <c r="G15" i="8"/>
  <c r="I15" i="8" s="1"/>
  <c r="I14" i="8"/>
  <c r="G14" i="8"/>
  <c r="H14" i="8" s="1"/>
  <c r="G13" i="8"/>
  <c r="I13" i="8" s="1"/>
  <c r="G12" i="8"/>
  <c r="I12" i="8" s="1"/>
  <c r="G11" i="8"/>
  <c r="I11" i="8" s="1"/>
  <c r="I10" i="8"/>
  <c r="G10" i="8"/>
  <c r="H10" i="8" s="1"/>
  <c r="G9" i="8"/>
  <c r="I9" i="8" s="1"/>
  <c r="G8" i="8"/>
  <c r="I8" i="8" s="1"/>
  <c r="G7" i="8"/>
  <c r="I7" i="8" s="1"/>
  <c r="I6" i="8"/>
  <c r="G6" i="8"/>
  <c r="H6" i="8" s="1"/>
  <c r="G5" i="8"/>
  <c r="I5" i="8" s="1"/>
  <c r="G4" i="8"/>
  <c r="G34" i="8" s="1"/>
  <c r="J55" i="7"/>
  <c r="K55" i="19" s="1"/>
  <c r="L55" i="19" s="1"/>
  <c r="J54" i="7"/>
  <c r="K54" i="19" s="1"/>
  <c r="L54" i="19" s="1"/>
  <c r="J53" i="7"/>
  <c r="K53" i="19" s="1"/>
  <c r="L53" i="19" s="1"/>
  <c r="J52" i="7"/>
  <c r="K52" i="19" s="1"/>
  <c r="L52" i="19" s="1"/>
  <c r="J51" i="7"/>
  <c r="K51" i="19" s="1"/>
  <c r="L51" i="19" s="1"/>
  <c r="J50" i="7"/>
  <c r="K50" i="19" s="1"/>
  <c r="L50" i="19" s="1"/>
  <c r="J49" i="7"/>
  <c r="K49" i="19" s="1"/>
  <c r="L49" i="19" s="1"/>
  <c r="J48" i="7"/>
  <c r="K48" i="19" s="1"/>
  <c r="L48" i="19" s="1"/>
  <c r="J47" i="7"/>
  <c r="K47" i="19" s="1"/>
  <c r="L47" i="19" s="1"/>
  <c r="J46" i="7"/>
  <c r="K46" i="19" s="1"/>
  <c r="L46" i="19" s="1"/>
  <c r="J45" i="7"/>
  <c r="K45" i="19" s="1"/>
  <c r="L45" i="19" s="1"/>
  <c r="J44" i="7"/>
  <c r="K44" i="19" s="1"/>
  <c r="L44" i="19" s="1"/>
  <c r="J43" i="7"/>
  <c r="K43" i="19" s="1"/>
  <c r="L43" i="19" s="1"/>
  <c r="J42" i="7"/>
  <c r="K42" i="19" s="1"/>
  <c r="L42" i="19" s="1"/>
  <c r="J41" i="7"/>
  <c r="K41" i="19" s="1"/>
  <c r="L41" i="19" s="1"/>
  <c r="J40" i="7"/>
  <c r="K40" i="19" s="1"/>
  <c r="L40" i="19" s="1"/>
  <c r="J39" i="7"/>
  <c r="K39" i="19" s="1"/>
  <c r="L39" i="19" s="1"/>
  <c r="J38" i="7"/>
  <c r="K38" i="19" s="1"/>
  <c r="L38" i="19" s="1"/>
  <c r="J37" i="7"/>
  <c r="K37" i="19" s="1"/>
  <c r="L37" i="19" s="1"/>
  <c r="J36" i="7"/>
  <c r="K36" i="19" s="1"/>
  <c r="L36" i="19" s="1"/>
  <c r="J35" i="7"/>
  <c r="K35" i="19" s="1"/>
  <c r="L35" i="19" s="1"/>
  <c r="J34" i="7"/>
  <c r="K34" i="19" s="1"/>
  <c r="L34" i="19" s="1"/>
  <c r="J33" i="7"/>
  <c r="K33" i="19" s="1"/>
  <c r="L33" i="19" s="1"/>
  <c r="J32" i="7"/>
  <c r="K32" i="19" s="1"/>
  <c r="L32" i="19" s="1"/>
  <c r="J31" i="7"/>
  <c r="K31" i="19" s="1"/>
  <c r="L31" i="19" s="1"/>
  <c r="J30" i="7"/>
  <c r="K30" i="19" s="1"/>
  <c r="L30" i="19" s="1"/>
  <c r="J29" i="7"/>
  <c r="K29" i="19" s="1"/>
  <c r="L29" i="19" s="1"/>
  <c r="J28" i="7"/>
  <c r="K28" i="19" s="1"/>
  <c r="L28" i="19" s="1"/>
  <c r="J27" i="7"/>
  <c r="K27" i="19" s="1"/>
  <c r="L27" i="19" s="1"/>
  <c r="J26" i="7"/>
  <c r="K26" i="19" s="1"/>
  <c r="L26" i="19" s="1"/>
  <c r="J25" i="7"/>
  <c r="K25" i="19" s="1"/>
  <c r="L25" i="19" s="1"/>
  <c r="J24" i="7"/>
  <c r="K24" i="19" s="1"/>
  <c r="L24" i="19" s="1"/>
  <c r="J23" i="7"/>
  <c r="K23" i="19" s="1"/>
  <c r="L23" i="19" s="1"/>
  <c r="J22" i="7"/>
  <c r="K22" i="19" s="1"/>
  <c r="L22" i="19" s="1"/>
  <c r="J21" i="7"/>
  <c r="K21" i="19" s="1"/>
  <c r="L21" i="19" s="1"/>
  <c r="J20" i="7"/>
  <c r="K20" i="19" s="1"/>
  <c r="L20" i="19" s="1"/>
  <c r="J19" i="7"/>
  <c r="K19" i="19" s="1"/>
  <c r="L19" i="19" s="1"/>
  <c r="J18" i="7"/>
  <c r="K18" i="19" s="1"/>
  <c r="L18" i="19" s="1"/>
  <c r="J17" i="7"/>
  <c r="K17" i="19" s="1"/>
  <c r="L17" i="19" s="1"/>
  <c r="J16" i="7"/>
  <c r="K16" i="19" s="1"/>
  <c r="L16" i="19" s="1"/>
  <c r="J15" i="7"/>
  <c r="K15" i="19" s="1"/>
  <c r="L15" i="19" s="1"/>
  <c r="J14" i="7"/>
  <c r="K14" i="19" s="1"/>
  <c r="L14" i="19" s="1"/>
  <c r="J13" i="7"/>
  <c r="K13" i="19" s="1"/>
  <c r="L13" i="19" s="1"/>
  <c r="J12" i="7"/>
  <c r="K12" i="19" s="1"/>
  <c r="L12" i="19" s="1"/>
  <c r="J11" i="7"/>
  <c r="K11" i="19" s="1"/>
  <c r="L11" i="19" s="1"/>
  <c r="J10" i="7"/>
  <c r="K10" i="19" s="1"/>
  <c r="L10" i="19" s="1"/>
  <c r="J9" i="7"/>
  <c r="K9" i="19" s="1"/>
  <c r="L9" i="19" s="1"/>
  <c r="J8" i="7"/>
  <c r="K8" i="19" s="1"/>
  <c r="L8" i="19" s="1"/>
  <c r="J7" i="7"/>
  <c r="K7" i="19" s="1"/>
  <c r="L7" i="19" s="1"/>
  <c r="J6" i="7"/>
  <c r="K6" i="19" s="1"/>
  <c r="L6" i="19" s="1"/>
  <c r="J5" i="7"/>
  <c r="K5" i="19" s="1"/>
  <c r="L5" i="19" s="1"/>
  <c r="J4" i="7"/>
  <c r="K4" i="19" s="1"/>
  <c r="L4" i="19" s="1"/>
  <c r="A28" i="6"/>
  <c r="B27" i="6"/>
  <c r="G27" i="6" s="1"/>
  <c r="A25" i="6"/>
  <c r="B24" i="6"/>
  <c r="G24" i="6" s="1"/>
  <c r="G18" i="6"/>
  <c r="F18" i="6"/>
  <c r="E18" i="6"/>
  <c r="G17" i="6"/>
  <c r="G16" i="6"/>
  <c r="G15" i="6"/>
  <c r="G14" i="6"/>
  <c r="G13" i="6"/>
  <c r="G12" i="6"/>
  <c r="G11" i="6"/>
  <c r="G10" i="6"/>
  <c r="G9" i="6"/>
  <c r="G8" i="6"/>
  <c r="G7" i="6"/>
  <c r="G6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F36" i="5"/>
  <c r="C36" i="5"/>
  <c r="B36" i="5"/>
  <c r="F35" i="5"/>
  <c r="D35" i="5"/>
  <c r="C35" i="5"/>
  <c r="E35" i="5" s="1"/>
  <c r="B35" i="5"/>
  <c r="F34" i="5"/>
  <c r="E34" i="5"/>
  <c r="D34" i="5"/>
  <c r="C34" i="5"/>
  <c r="B34" i="5"/>
  <c r="F33" i="5"/>
  <c r="D33" i="5"/>
  <c r="C33" i="5"/>
  <c r="E33" i="5" s="1"/>
  <c r="B33" i="5"/>
  <c r="F32" i="5"/>
  <c r="D32" i="5"/>
  <c r="C32" i="5"/>
  <c r="E32" i="5" s="1"/>
  <c r="B32" i="5"/>
  <c r="F31" i="5"/>
  <c r="E31" i="5"/>
  <c r="D31" i="5"/>
  <c r="C31" i="5"/>
  <c r="B31" i="5"/>
  <c r="B37" i="5" s="1"/>
  <c r="F30" i="5"/>
  <c r="F37" i="5" s="1"/>
  <c r="D30" i="5"/>
  <c r="C30" i="5"/>
  <c r="E30" i="5" s="1"/>
  <c r="B30" i="5"/>
  <c r="H25" i="5"/>
  <c r="G25" i="5"/>
  <c r="I25" i="5" s="1"/>
  <c r="K25" i="5" s="1"/>
  <c r="H24" i="5"/>
  <c r="G24" i="5"/>
  <c r="I24" i="5" s="1"/>
  <c r="K24" i="5" s="1"/>
  <c r="I23" i="5"/>
  <c r="K23" i="5" s="1"/>
  <c r="H23" i="5"/>
  <c r="G23" i="5"/>
  <c r="H22" i="5"/>
  <c r="G22" i="5"/>
  <c r="I22" i="5" s="1"/>
  <c r="K22" i="5" s="1"/>
  <c r="H21" i="5"/>
  <c r="G21" i="5"/>
  <c r="I21" i="5" s="1"/>
  <c r="K21" i="5" s="1"/>
  <c r="I20" i="5"/>
  <c r="K20" i="5" s="1"/>
  <c r="H20" i="5"/>
  <c r="G20" i="5"/>
  <c r="H19" i="5"/>
  <c r="G19" i="5"/>
  <c r="I19" i="5" s="1"/>
  <c r="K19" i="5" s="1"/>
  <c r="H18" i="5"/>
  <c r="G18" i="5"/>
  <c r="I18" i="5" s="1"/>
  <c r="K18" i="5" s="1"/>
  <c r="I17" i="5"/>
  <c r="K17" i="5" s="1"/>
  <c r="H17" i="5"/>
  <c r="G17" i="5"/>
  <c r="H16" i="5"/>
  <c r="G16" i="5"/>
  <c r="I16" i="5" s="1"/>
  <c r="K16" i="5" s="1"/>
  <c r="H15" i="5"/>
  <c r="G15" i="5"/>
  <c r="I15" i="5" s="1"/>
  <c r="K15" i="5" s="1"/>
  <c r="I14" i="5"/>
  <c r="K14" i="5" s="1"/>
  <c r="H14" i="5"/>
  <c r="G14" i="5"/>
  <c r="H13" i="5"/>
  <c r="G13" i="5"/>
  <c r="I13" i="5" s="1"/>
  <c r="K13" i="5" s="1"/>
  <c r="H12" i="5"/>
  <c r="G12" i="5"/>
  <c r="I12" i="5" s="1"/>
  <c r="K12" i="5" s="1"/>
  <c r="I11" i="5"/>
  <c r="K11" i="5" s="1"/>
  <c r="H11" i="5"/>
  <c r="G11" i="5"/>
  <c r="H10" i="5"/>
  <c r="G10" i="5"/>
  <c r="I10" i="5" s="1"/>
  <c r="K10" i="5" s="1"/>
  <c r="H9" i="5"/>
  <c r="G9" i="5"/>
  <c r="I9" i="5" s="1"/>
  <c r="K9" i="5" s="1"/>
  <c r="I8" i="5"/>
  <c r="K8" i="5" s="1"/>
  <c r="H8" i="5"/>
  <c r="G8" i="5"/>
  <c r="H7" i="5"/>
  <c r="G7" i="5"/>
  <c r="I7" i="5" s="1"/>
  <c r="K7" i="5" s="1"/>
  <c r="H6" i="5"/>
  <c r="G6" i="5"/>
  <c r="I6" i="5" s="1"/>
  <c r="K6" i="5" s="1"/>
  <c r="D36" i="5" s="1"/>
  <c r="B115" i="4"/>
  <c r="B114" i="4"/>
  <c r="B113" i="4"/>
  <c r="B112" i="4"/>
  <c r="B111" i="4"/>
  <c r="B110" i="4"/>
  <c r="B116" i="4" s="1"/>
  <c r="B109" i="4"/>
  <c r="B24" i="3"/>
  <c r="B21" i="3"/>
  <c r="B18" i="3"/>
  <c r="H14" i="3"/>
  <c r="G14" i="3"/>
  <c r="B23" i="3" s="1"/>
  <c r="F14" i="3"/>
  <c r="B22" i="3" s="1"/>
  <c r="E14" i="3"/>
  <c r="D14" i="3"/>
  <c r="B20" i="3" s="1"/>
  <c r="C14" i="3"/>
  <c r="B19" i="3" s="1"/>
  <c r="B14" i="3"/>
  <c r="I13" i="3"/>
  <c r="I12" i="3"/>
  <c r="I11" i="3"/>
  <c r="I10" i="3"/>
  <c r="I9" i="3"/>
  <c r="I8" i="3"/>
  <c r="I7" i="3"/>
  <c r="I6" i="3"/>
  <c r="I5" i="3"/>
  <c r="I4" i="3"/>
  <c r="I14" i="3" s="1"/>
  <c r="B27" i="3" s="1"/>
  <c r="B11" i="2"/>
  <c r="C9" i="2" s="1"/>
  <c r="N10" i="2"/>
  <c r="L10" i="2"/>
  <c r="E21" i="18" s="1"/>
  <c r="K10" i="2"/>
  <c r="D21" i="18" s="1"/>
  <c r="J10" i="2"/>
  <c r="C21" i="18" s="1"/>
  <c r="F21" i="18" s="1"/>
  <c r="I10" i="2"/>
  <c r="E20" i="18" s="1"/>
  <c r="G10" i="2"/>
  <c r="C20" i="18" s="1"/>
  <c r="F10" i="2"/>
  <c r="B15" i="18" s="1"/>
  <c r="E10" i="2"/>
  <c r="D10" i="2"/>
  <c r="B29" i="6" s="1"/>
  <c r="C10" i="2"/>
  <c r="A10" i="2"/>
  <c r="A29" i="6" s="1"/>
  <c r="N9" i="2"/>
  <c r="J9" i="2"/>
  <c r="C21" i="17" s="1"/>
  <c r="G9" i="2"/>
  <c r="C20" i="17" s="1"/>
  <c r="D9" i="2"/>
  <c r="B28" i="6" s="1"/>
  <c r="A9" i="2"/>
  <c r="N8" i="2"/>
  <c r="K8" i="2"/>
  <c r="D21" i="16" s="1"/>
  <c r="J8" i="2"/>
  <c r="C21" i="16" s="1"/>
  <c r="H8" i="2"/>
  <c r="D20" i="16" s="1"/>
  <c r="G8" i="2"/>
  <c r="C20" i="16" s="1"/>
  <c r="E8" i="2"/>
  <c r="D8" i="2"/>
  <c r="A8" i="2"/>
  <c r="A27" i="6" s="1"/>
  <c r="N7" i="2"/>
  <c r="L7" i="2"/>
  <c r="E21" i="15" s="1"/>
  <c r="J7" i="2"/>
  <c r="C21" i="15" s="1"/>
  <c r="F21" i="15" s="1"/>
  <c r="I7" i="2"/>
  <c r="E20" i="15" s="1"/>
  <c r="H7" i="2"/>
  <c r="D20" i="15" s="1"/>
  <c r="G7" i="2"/>
  <c r="C20" i="15" s="1"/>
  <c r="F7" i="2"/>
  <c r="B15" i="15" s="1"/>
  <c r="E7" i="2"/>
  <c r="D7" i="2"/>
  <c r="B26" i="6" s="1"/>
  <c r="A7" i="2"/>
  <c r="A26" i="6" s="1"/>
  <c r="N6" i="2"/>
  <c r="J6" i="2"/>
  <c r="C21" i="14" s="1"/>
  <c r="G6" i="2"/>
  <c r="H6" i="2" s="1"/>
  <c r="D20" i="14" s="1"/>
  <c r="D6" i="2"/>
  <c r="B93" i="14" s="1"/>
  <c r="A6" i="2"/>
  <c r="N5" i="2"/>
  <c r="K5" i="2"/>
  <c r="J5" i="2"/>
  <c r="C21" i="13" s="1"/>
  <c r="F21" i="13" s="1"/>
  <c r="H5" i="2"/>
  <c r="G5" i="2"/>
  <c r="I5" i="2" s="1"/>
  <c r="E20" i="13" s="1"/>
  <c r="E5" i="2"/>
  <c r="B75" i="13" s="1"/>
  <c r="C75" i="13" s="1"/>
  <c r="D5" i="2"/>
  <c r="B16" i="13" s="1"/>
  <c r="A5" i="2"/>
  <c r="A24" i="6" s="1"/>
  <c r="N4" i="2"/>
  <c r="M4" i="2"/>
  <c r="F22" i="12" s="1"/>
  <c r="B82" i="12" s="1"/>
  <c r="L4" i="2"/>
  <c r="K4" i="2"/>
  <c r="D21" i="12" s="1"/>
  <c r="J4" i="2"/>
  <c r="C21" i="12" s="1"/>
  <c r="I4" i="2"/>
  <c r="H4" i="2"/>
  <c r="G4" i="2"/>
  <c r="C20" i="12" s="1"/>
  <c r="F4" i="2"/>
  <c r="B15" i="12" s="1"/>
  <c r="E4" i="2"/>
  <c r="B69" i="12" s="1"/>
  <c r="C69" i="12" s="1"/>
  <c r="D4" i="2"/>
  <c r="B16" i="12" s="1"/>
  <c r="A4" i="2"/>
  <c r="A23" i="6" s="1"/>
  <c r="E46" i="1"/>
  <c r="E45" i="1"/>
  <c r="E44" i="1"/>
  <c r="E43" i="1"/>
  <c r="B36" i="1"/>
  <c r="E35" i="1" s="1"/>
  <c r="B9" i="18" s="1"/>
  <c r="E34" i="1"/>
  <c r="B9" i="17" s="1"/>
  <c r="E33" i="1"/>
  <c r="B9" i="16" s="1"/>
  <c r="E31" i="1"/>
  <c r="B9" i="14" s="1"/>
  <c r="E29" i="1"/>
  <c r="B9" i="12" s="1"/>
  <c r="B12" i="1"/>
  <c r="B8" i="1"/>
  <c r="C17" i="6" s="1"/>
  <c r="D17" i="6" s="1"/>
  <c r="C28" i="6" l="1"/>
  <c r="G28" i="6"/>
  <c r="I58" i="12"/>
  <c r="I63" i="12" s="1"/>
  <c r="B91" i="12" s="1"/>
  <c r="G63" i="12"/>
  <c r="B87" i="12"/>
  <c r="J17" i="6"/>
  <c r="J18" i="6" s="1"/>
  <c r="I17" i="6"/>
  <c r="I18" i="6" s="1"/>
  <c r="D18" i="6"/>
  <c r="B88" i="12"/>
  <c r="B83" i="12"/>
  <c r="I63" i="13"/>
  <c r="B91" i="13" s="1"/>
  <c r="B84" i="12"/>
  <c r="D37" i="5"/>
  <c r="I69" i="12"/>
  <c r="H69" i="12"/>
  <c r="J69" i="12" s="1"/>
  <c r="G26" i="6"/>
  <c r="C26" i="6"/>
  <c r="C38" i="12"/>
  <c r="C35" i="12"/>
  <c r="C32" i="12"/>
  <c r="C29" i="12"/>
  <c r="C26" i="12"/>
  <c r="B86" i="12"/>
  <c r="C37" i="12"/>
  <c r="C34" i="12"/>
  <c r="C31" i="12"/>
  <c r="C28" i="12"/>
  <c r="C36" i="12"/>
  <c r="C33" i="12"/>
  <c r="C30" i="12"/>
  <c r="C27" i="12"/>
  <c r="F20" i="12"/>
  <c r="H11" i="2"/>
  <c r="E36" i="5"/>
  <c r="E37" i="5" s="1"/>
  <c r="I76" i="12"/>
  <c r="H76" i="12"/>
  <c r="J76" i="12" s="1"/>
  <c r="H75" i="13"/>
  <c r="I75" i="13"/>
  <c r="G29" i="6"/>
  <c r="C29" i="6"/>
  <c r="I11" i="2"/>
  <c r="K11" i="2"/>
  <c r="F21" i="12"/>
  <c r="I6" i="2"/>
  <c r="E20" i="14" s="1"/>
  <c r="C36" i="16"/>
  <c r="C33" i="16"/>
  <c r="C30" i="16"/>
  <c r="C27" i="16"/>
  <c r="C38" i="16"/>
  <c r="C35" i="16"/>
  <c r="C32" i="16"/>
  <c r="C29" i="16"/>
  <c r="C26" i="16"/>
  <c r="B86" i="16"/>
  <c r="C37" i="16"/>
  <c r="C34" i="16"/>
  <c r="C31" i="16"/>
  <c r="C28" i="16"/>
  <c r="F9" i="2"/>
  <c r="B15" i="17" s="1"/>
  <c r="B69" i="18"/>
  <c r="C69" i="18" s="1"/>
  <c r="B74" i="18"/>
  <c r="C74" i="18" s="1"/>
  <c r="B67" i="18"/>
  <c r="B72" i="18"/>
  <c r="C72" i="18" s="1"/>
  <c r="B77" i="18"/>
  <c r="C77" i="18" s="1"/>
  <c r="B14" i="18"/>
  <c r="B70" i="18"/>
  <c r="C70" i="18" s="1"/>
  <c r="B75" i="18"/>
  <c r="C75" i="18" s="1"/>
  <c r="B68" i="18"/>
  <c r="C68" i="18" s="1"/>
  <c r="B73" i="18"/>
  <c r="C73" i="18" s="1"/>
  <c r="B78" i="18"/>
  <c r="C78" i="18" s="1"/>
  <c r="B71" i="18"/>
  <c r="C71" i="18" s="1"/>
  <c r="B76" i="18"/>
  <c r="C76" i="18" s="1"/>
  <c r="D11" i="2"/>
  <c r="C6" i="6"/>
  <c r="C8" i="6"/>
  <c r="D8" i="6" s="1"/>
  <c r="C10" i="6"/>
  <c r="D10" i="6" s="1"/>
  <c r="C12" i="6"/>
  <c r="D12" i="6" s="1"/>
  <c r="C14" i="6"/>
  <c r="D14" i="6" s="1"/>
  <c r="C16" i="6"/>
  <c r="D16" i="6" s="1"/>
  <c r="C20" i="14"/>
  <c r="H7" i="8"/>
  <c r="H11" i="8"/>
  <c r="H15" i="8"/>
  <c r="H19" i="8"/>
  <c r="H23" i="8"/>
  <c r="H27" i="8"/>
  <c r="H31" i="8"/>
  <c r="E20" i="12"/>
  <c r="I44" i="12"/>
  <c r="I47" i="12"/>
  <c r="I50" i="12"/>
  <c r="I53" i="12"/>
  <c r="F59" i="12"/>
  <c r="F62" i="12"/>
  <c r="B71" i="12"/>
  <c r="C71" i="12" s="1"/>
  <c r="C20" i="13"/>
  <c r="G61" i="14"/>
  <c r="I61" i="14" s="1"/>
  <c r="F61" i="14"/>
  <c r="B87" i="16"/>
  <c r="I58" i="18"/>
  <c r="I63" i="18" s="1"/>
  <c r="B91" i="18" s="1"/>
  <c r="G63" i="18"/>
  <c r="I8" i="2"/>
  <c r="E20" i="16" s="1"/>
  <c r="C38" i="18"/>
  <c r="C35" i="18"/>
  <c r="C32" i="18"/>
  <c r="C29" i="18"/>
  <c r="C26" i="18"/>
  <c r="B86" i="18"/>
  <c r="B87" i="18" s="1"/>
  <c r="C37" i="18"/>
  <c r="C34" i="18"/>
  <c r="C31" i="18"/>
  <c r="C28" i="18"/>
  <c r="C36" i="18"/>
  <c r="C33" i="18"/>
  <c r="C30" i="18"/>
  <c r="C27" i="18"/>
  <c r="F20" i="18"/>
  <c r="C27" i="6"/>
  <c r="J44" i="12"/>
  <c r="J54" i="12" s="1"/>
  <c r="B90" i="12" s="1"/>
  <c r="B78" i="12"/>
  <c r="C78" i="12" s="1"/>
  <c r="D20" i="13"/>
  <c r="E63" i="13"/>
  <c r="J47" i="14"/>
  <c r="G62" i="14"/>
  <c r="I62" i="14" s="1"/>
  <c r="F62" i="14"/>
  <c r="L5" i="2"/>
  <c r="E21" i="13" s="1"/>
  <c r="K6" i="2"/>
  <c r="D21" i="14" s="1"/>
  <c r="H9" i="2"/>
  <c r="D20" i="17" s="1"/>
  <c r="E30" i="1"/>
  <c r="M5" i="2"/>
  <c r="F22" i="13" s="1"/>
  <c r="B82" i="13" s="1"/>
  <c r="L6" i="2"/>
  <c r="E21" i="14" s="1"/>
  <c r="K7" i="2"/>
  <c r="D21" i="15" s="1"/>
  <c r="I9" i="2"/>
  <c r="E20" i="17" s="1"/>
  <c r="H10" i="2"/>
  <c r="D20" i="18" s="1"/>
  <c r="G11" i="2"/>
  <c r="B73" i="12"/>
  <c r="C73" i="12" s="1"/>
  <c r="F60" i="13"/>
  <c r="F63" i="13" s="1"/>
  <c r="B77" i="13"/>
  <c r="C77" i="13" s="1"/>
  <c r="F21" i="14"/>
  <c r="F54" i="14"/>
  <c r="J52" i="14"/>
  <c r="I52" i="14"/>
  <c r="C4" i="2"/>
  <c r="H4" i="8"/>
  <c r="H8" i="8"/>
  <c r="H12" i="8"/>
  <c r="H16" i="8"/>
  <c r="H20" i="8"/>
  <c r="H24" i="8"/>
  <c r="H28" i="8"/>
  <c r="H32" i="8"/>
  <c r="B68" i="12"/>
  <c r="C68" i="12" s="1"/>
  <c r="B93" i="12"/>
  <c r="F20" i="13"/>
  <c r="H54" i="13"/>
  <c r="B71" i="13"/>
  <c r="C71" i="13" s="1"/>
  <c r="B73" i="13"/>
  <c r="C73" i="13" s="1"/>
  <c r="B93" i="13"/>
  <c r="H54" i="14"/>
  <c r="I44" i="14"/>
  <c r="E32" i="1"/>
  <c r="B9" i="15" s="1"/>
  <c r="C5" i="2"/>
  <c r="M7" i="2"/>
  <c r="F22" i="15" s="1"/>
  <c r="B82" i="15" s="1"/>
  <c r="L8" i="2"/>
  <c r="E21" i="16" s="1"/>
  <c r="K9" i="2"/>
  <c r="D21" i="17" s="1"/>
  <c r="C24" i="6"/>
  <c r="I4" i="8"/>
  <c r="I34" i="8" s="1"/>
  <c r="I45" i="12"/>
  <c r="I48" i="12"/>
  <c r="I51" i="12"/>
  <c r="F60" i="12"/>
  <c r="E63" i="12"/>
  <c r="B75" i="12"/>
  <c r="C75" i="12" s="1"/>
  <c r="F39" i="13"/>
  <c r="I45" i="13"/>
  <c r="I54" i="13" s="1"/>
  <c r="I48" i="13"/>
  <c r="I51" i="13"/>
  <c r="B69" i="13"/>
  <c r="C69" i="13" s="1"/>
  <c r="J44" i="14"/>
  <c r="J53" i="14"/>
  <c r="I53" i="14"/>
  <c r="F20" i="15"/>
  <c r="B88" i="17"/>
  <c r="B83" i="17"/>
  <c r="D67" i="19"/>
  <c r="C6" i="2"/>
  <c r="M8" i="2"/>
  <c r="F22" i="16" s="1"/>
  <c r="B82" i="16" s="1"/>
  <c r="B84" i="16" s="1"/>
  <c r="L9" i="2"/>
  <c r="E21" i="17" s="1"/>
  <c r="J11" i="2"/>
  <c r="C7" i="6"/>
  <c r="D7" i="6" s="1"/>
  <c r="C9" i="6"/>
  <c r="D9" i="6" s="1"/>
  <c r="C11" i="6"/>
  <c r="D11" i="6" s="1"/>
  <c r="C13" i="6"/>
  <c r="D13" i="6" s="1"/>
  <c r="C15" i="6"/>
  <c r="D15" i="6" s="1"/>
  <c r="B13" i="12"/>
  <c r="E21" i="12"/>
  <c r="B70" i="12"/>
  <c r="C70" i="12" s="1"/>
  <c r="F79" i="13"/>
  <c r="B22" i="14"/>
  <c r="F79" i="14"/>
  <c r="B67" i="13"/>
  <c r="B76" i="13"/>
  <c r="C76" i="13" s="1"/>
  <c r="H5" i="8"/>
  <c r="H9" i="8"/>
  <c r="H13" i="8"/>
  <c r="H17" i="8"/>
  <c r="H21" i="8"/>
  <c r="H25" i="8"/>
  <c r="H29" i="8"/>
  <c r="H33" i="8"/>
  <c r="B14" i="12"/>
  <c r="B77" i="12"/>
  <c r="C77" i="12" s="1"/>
  <c r="D21" i="13"/>
  <c r="G61" i="13"/>
  <c r="I61" i="13" s="1"/>
  <c r="J49" i="14"/>
  <c r="I49" i="14"/>
  <c r="G70" i="14"/>
  <c r="G71" i="14" s="1"/>
  <c r="G72" i="14" s="1"/>
  <c r="G73" i="14" s="1"/>
  <c r="G74" i="14" s="1"/>
  <c r="G75" i="14" s="1"/>
  <c r="G76" i="14" s="1"/>
  <c r="G77" i="14" s="1"/>
  <c r="G78" i="14" s="1"/>
  <c r="G79" i="14" s="1"/>
  <c r="F63" i="16"/>
  <c r="I58" i="17"/>
  <c r="I63" i="17" s="1"/>
  <c r="B91" i="17" s="1"/>
  <c r="G63" i="17"/>
  <c r="F5" i="2"/>
  <c r="B15" i="13" s="1"/>
  <c r="E6" i="2"/>
  <c r="B93" i="15"/>
  <c r="B16" i="15"/>
  <c r="B13" i="15"/>
  <c r="C8" i="2"/>
  <c r="M10" i="2"/>
  <c r="F22" i="18" s="1"/>
  <c r="B82" i="18" s="1"/>
  <c r="C37" i="5"/>
  <c r="B72" i="12"/>
  <c r="C72" i="12" s="1"/>
  <c r="B13" i="13"/>
  <c r="B13" i="14"/>
  <c r="B85" i="14"/>
  <c r="E63" i="14"/>
  <c r="G58" i="14"/>
  <c r="F58" i="14"/>
  <c r="I54" i="16"/>
  <c r="I63" i="16"/>
  <c r="B91" i="16" s="1"/>
  <c r="C38" i="17"/>
  <c r="C35" i="17"/>
  <c r="C32" i="17"/>
  <c r="C29" i="17"/>
  <c r="C26" i="17"/>
  <c r="B86" i="17"/>
  <c r="B87" i="17" s="1"/>
  <c r="C37" i="17"/>
  <c r="C34" i="17"/>
  <c r="C31" i="17"/>
  <c r="C28" i="17"/>
  <c r="C36" i="17"/>
  <c r="C33" i="17"/>
  <c r="C30" i="17"/>
  <c r="C27" i="17"/>
  <c r="F20" i="17"/>
  <c r="M6" i="2"/>
  <c r="F22" i="14" s="1"/>
  <c r="B82" i="14" s="1"/>
  <c r="C7" i="2"/>
  <c r="M9" i="2"/>
  <c r="F22" i="17" s="1"/>
  <c r="B82" i="17" s="1"/>
  <c r="F6" i="2"/>
  <c r="B15" i="14" s="1"/>
  <c r="B75" i="15"/>
  <c r="C75" i="15" s="1"/>
  <c r="B68" i="15"/>
  <c r="C68" i="15" s="1"/>
  <c r="B73" i="15"/>
  <c r="C73" i="15" s="1"/>
  <c r="B78" i="15"/>
  <c r="C78" i="15" s="1"/>
  <c r="B71" i="15"/>
  <c r="C71" i="15" s="1"/>
  <c r="B76" i="15"/>
  <c r="C76" i="15" s="1"/>
  <c r="B69" i="15"/>
  <c r="C69" i="15" s="1"/>
  <c r="B74" i="15"/>
  <c r="C74" i="15" s="1"/>
  <c r="B67" i="15"/>
  <c r="B72" i="15"/>
  <c r="C72" i="15" s="1"/>
  <c r="B77" i="15"/>
  <c r="C77" i="15" s="1"/>
  <c r="B14" i="15"/>
  <c r="B70" i="15"/>
  <c r="C70" i="15" s="1"/>
  <c r="B16" i="16"/>
  <c r="B13" i="16"/>
  <c r="B93" i="16"/>
  <c r="B23" i="6"/>
  <c r="I46" i="12"/>
  <c r="I49" i="12"/>
  <c r="I52" i="12"/>
  <c r="F58" i="12"/>
  <c r="F61" i="12"/>
  <c r="B67" i="12"/>
  <c r="B14" i="13"/>
  <c r="I46" i="13"/>
  <c r="I49" i="13"/>
  <c r="J52" i="13"/>
  <c r="J54" i="13" s="1"/>
  <c r="B90" i="13" s="1"/>
  <c r="B78" i="13"/>
  <c r="C78" i="13" s="1"/>
  <c r="G59" i="14"/>
  <c r="I59" i="14" s="1"/>
  <c r="F59" i="14"/>
  <c r="B92" i="16"/>
  <c r="B89" i="16"/>
  <c r="E113" i="20"/>
  <c r="E110" i="20"/>
  <c r="E112" i="20"/>
  <c r="E114" i="20"/>
  <c r="E111" i="20"/>
  <c r="B74" i="12"/>
  <c r="C74" i="12" s="1"/>
  <c r="B74" i="13"/>
  <c r="C74" i="13" s="1"/>
  <c r="B16" i="14"/>
  <c r="J50" i="14"/>
  <c r="B88" i="15"/>
  <c r="B83" i="15"/>
  <c r="C115" i="20"/>
  <c r="B73" i="16"/>
  <c r="C73" i="16" s="1"/>
  <c r="B78" i="16"/>
  <c r="C78" i="16" s="1"/>
  <c r="B71" i="16"/>
  <c r="C71" i="16" s="1"/>
  <c r="B76" i="16"/>
  <c r="C76" i="16" s="1"/>
  <c r="B69" i="16"/>
  <c r="C69" i="16" s="1"/>
  <c r="B74" i="16"/>
  <c r="C74" i="16" s="1"/>
  <c r="B67" i="16"/>
  <c r="B72" i="16"/>
  <c r="C72" i="16" s="1"/>
  <c r="B77" i="16"/>
  <c r="C77" i="16" s="1"/>
  <c r="B14" i="16"/>
  <c r="B70" i="16"/>
  <c r="C70" i="16" s="1"/>
  <c r="B75" i="16"/>
  <c r="C75" i="16" s="1"/>
  <c r="B68" i="16"/>
  <c r="C68" i="16" s="1"/>
  <c r="B16" i="17"/>
  <c r="B13" i="17"/>
  <c r="B93" i="17"/>
  <c r="C36" i="15"/>
  <c r="C33" i="15"/>
  <c r="C30" i="15"/>
  <c r="C27" i="15"/>
  <c r="C38" i="15"/>
  <c r="C35" i="15"/>
  <c r="C32" i="15"/>
  <c r="C29" i="15"/>
  <c r="C26" i="15"/>
  <c r="B86" i="15"/>
  <c r="B87" i="15" s="1"/>
  <c r="C37" i="15"/>
  <c r="C34" i="15"/>
  <c r="C31" i="15"/>
  <c r="C28" i="15"/>
  <c r="F8" i="2"/>
  <c r="B15" i="16" s="1"/>
  <c r="E9" i="2"/>
  <c r="B16" i="18"/>
  <c r="B13" i="18"/>
  <c r="B93" i="18"/>
  <c r="B25" i="6"/>
  <c r="B68" i="13"/>
  <c r="C68" i="13" s="1"/>
  <c r="B70" i="13"/>
  <c r="C70" i="13" s="1"/>
  <c r="B72" i="13"/>
  <c r="C72" i="13" s="1"/>
  <c r="F39" i="14"/>
  <c r="J46" i="14"/>
  <c r="I46" i="14"/>
  <c r="F20" i="16"/>
  <c r="J45" i="15"/>
  <c r="J48" i="15"/>
  <c r="J51" i="15"/>
  <c r="G60" i="15"/>
  <c r="I60" i="15" s="1"/>
  <c r="J44" i="17"/>
  <c r="J47" i="17"/>
  <c r="J50" i="17"/>
  <c r="J53" i="17"/>
  <c r="G59" i="17"/>
  <c r="I59" i="17" s="1"/>
  <c r="G62" i="17"/>
  <c r="I62" i="17" s="1"/>
  <c r="G67" i="18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I44" i="18"/>
  <c r="I46" i="15"/>
  <c r="I49" i="15"/>
  <c r="I52" i="15"/>
  <c r="F58" i="15"/>
  <c r="F61" i="15"/>
  <c r="G63" i="16"/>
  <c r="I45" i="17"/>
  <c r="I54" i="17" s="1"/>
  <c r="I48" i="17"/>
  <c r="I51" i="17"/>
  <c r="H54" i="17"/>
  <c r="F60" i="17"/>
  <c r="E63" i="17"/>
  <c r="G58" i="15"/>
  <c r="B22" i="16"/>
  <c r="F21" i="17"/>
  <c r="F39" i="18"/>
  <c r="I45" i="18"/>
  <c r="I48" i="18"/>
  <c r="I51" i="18"/>
  <c r="F60" i="18"/>
  <c r="E63" i="18"/>
  <c r="I44" i="15"/>
  <c r="I47" i="15"/>
  <c r="I50" i="15"/>
  <c r="I53" i="15"/>
  <c r="F59" i="15"/>
  <c r="F62" i="15"/>
  <c r="I46" i="17"/>
  <c r="I49" i="17"/>
  <c r="I52" i="17"/>
  <c r="F58" i="17"/>
  <c r="F61" i="17"/>
  <c r="I46" i="18"/>
  <c r="I49" i="18"/>
  <c r="I52" i="18"/>
  <c r="F58" i="18"/>
  <c r="F61" i="18"/>
  <c r="B92" i="13" l="1"/>
  <c r="B89" i="13"/>
  <c r="I10" i="6"/>
  <c r="J10" i="6"/>
  <c r="I72" i="16"/>
  <c r="H72" i="16"/>
  <c r="J72" i="16" s="1"/>
  <c r="I54" i="18"/>
  <c r="J44" i="18"/>
  <c r="J54" i="18" s="1"/>
  <c r="B90" i="18" s="1"/>
  <c r="I68" i="12"/>
  <c r="H68" i="12"/>
  <c r="J68" i="12" s="1"/>
  <c r="D6" i="6"/>
  <c r="C18" i="6"/>
  <c r="H33" i="15"/>
  <c r="G33" i="15"/>
  <c r="H30" i="17"/>
  <c r="G30" i="17"/>
  <c r="F11" i="2"/>
  <c r="H29" i="18"/>
  <c r="G29" i="18"/>
  <c r="B86" i="13"/>
  <c r="B87" i="13" s="1"/>
  <c r="C38" i="13"/>
  <c r="C34" i="13"/>
  <c r="C31" i="13"/>
  <c r="C28" i="13"/>
  <c r="C37" i="13"/>
  <c r="C33" i="13"/>
  <c r="C30" i="13"/>
  <c r="C27" i="13"/>
  <c r="C36" i="13"/>
  <c r="C35" i="13"/>
  <c r="C32" i="13"/>
  <c r="C29" i="13"/>
  <c r="C26" i="13"/>
  <c r="I74" i="18"/>
  <c r="H74" i="18"/>
  <c r="J74" i="18" s="1"/>
  <c r="H38" i="16"/>
  <c r="G38" i="16"/>
  <c r="L11" i="2"/>
  <c r="H27" i="12"/>
  <c r="G27" i="12"/>
  <c r="H35" i="12"/>
  <c r="G35" i="12"/>
  <c r="I77" i="16"/>
  <c r="H77" i="16"/>
  <c r="J77" i="16" s="1"/>
  <c r="C39" i="12"/>
  <c r="H26" i="12"/>
  <c r="G26" i="12"/>
  <c r="F63" i="18"/>
  <c r="I58" i="15"/>
  <c r="I63" i="15" s="1"/>
  <c r="B91" i="15" s="1"/>
  <c r="G63" i="15"/>
  <c r="H27" i="15"/>
  <c r="G27" i="15"/>
  <c r="H32" i="16"/>
  <c r="G32" i="16"/>
  <c r="I69" i="15"/>
  <c r="H69" i="15"/>
  <c r="J69" i="15" s="1"/>
  <c r="H35" i="17"/>
  <c r="G35" i="17"/>
  <c r="C39" i="18"/>
  <c r="H39" i="18" s="1"/>
  <c r="B40" i="18" s="1"/>
  <c r="H26" i="18"/>
  <c r="G26" i="18"/>
  <c r="H32" i="12"/>
  <c r="G32" i="12"/>
  <c r="C23" i="6"/>
  <c r="B30" i="6"/>
  <c r="G23" i="6"/>
  <c r="H38" i="17"/>
  <c r="G38" i="17"/>
  <c r="I54" i="15"/>
  <c r="H31" i="15"/>
  <c r="G31" i="15"/>
  <c r="H36" i="15"/>
  <c r="G36" i="15"/>
  <c r="H69" i="16"/>
  <c r="I69" i="16"/>
  <c r="I74" i="13"/>
  <c r="H74" i="13"/>
  <c r="J74" i="13" s="1"/>
  <c r="H78" i="13"/>
  <c r="C79" i="13"/>
  <c r="I78" i="13"/>
  <c r="I79" i="13" s="1"/>
  <c r="M11" i="2"/>
  <c r="H71" i="15"/>
  <c r="I71" i="15"/>
  <c r="H33" i="17"/>
  <c r="G33" i="17"/>
  <c r="J13" i="6"/>
  <c r="I13" i="6"/>
  <c r="I77" i="13"/>
  <c r="H77" i="13"/>
  <c r="J77" i="13" s="1"/>
  <c r="H32" i="18"/>
  <c r="G32" i="18"/>
  <c r="I71" i="12"/>
  <c r="H71" i="12"/>
  <c r="J71" i="12" s="1"/>
  <c r="I76" i="18"/>
  <c r="H76" i="18"/>
  <c r="J76" i="18" s="1"/>
  <c r="I69" i="18"/>
  <c r="H69" i="18"/>
  <c r="H27" i="16"/>
  <c r="G27" i="16"/>
  <c r="H30" i="12"/>
  <c r="G30" i="12"/>
  <c r="H38" i="12"/>
  <c r="G38" i="12"/>
  <c r="C67" i="15"/>
  <c r="B79" i="15"/>
  <c r="B92" i="12"/>
  <c r="B89" i="12"/>
  <c r="H37" i="18"/>
  <c r="G37" i="18"/>
  <c r="H29" i="16"/>
  <c r="G29" i="16"/>
  <c r="J8" i="6"/>
  <c r="I8" i="6"/>
  <c r="C67" i="16"/>
  <c r="B79" i="16"/>
  <c r="I75" i="12"/>
  <c r="H75" i="12"/>
  <c r="J75" i="12" s="1"/>
  <c r="H35" i="16"/>
  <c r="G35" i="16"/>
  <c r="I76" i="15"/>
  <c r="H76" i="15"/>
  <c r="I72" i="12"/>
  <c r="H72" i="12"/>
  <c r="J15" i="6"/>
  <c r="I15" i="6"/>
  <c r="J44" i="15"/>
  <c r="J54" i="15" s="1"/>
  <c r="B90" i="15" s="1"/>
  <c r="B83" i="14"/>
  <c r="B88" i="14"/>
  <c r="H34" i="15"/>
  <c r="G34" i="15"/>
  <c r="I76" i="16"/>
  <c r="H76" i="16"/>
  <c r="I74" i="12"/>
  <c r="H74" i="12"/>
  <c r="C79" i="15"/>
  <c r="I78" i="15"/>
  <c r="I79" i="15" s="1"/>
  <c r="H78" i="15"/>
  <c r="H36" i="17"/>
  <c r="G36" i="17"/>
  <c r="J11" i="6"/>
  <c r="I11" i="6"/>
  <c r="I54" i="14"/>
  <c r="H27" i="18"/>
  <c r="G27" i="18"/>
  <c r="H35" i="18"/>
  <c r="G35" i="18"/>
  <c r="I71" i="18"/>
  <c r="H71" i="18"/>
  <c r="J71" i="18" s="1"/>
  <c r="H30" i="16"/>
  <c r="G30" i="16"/>
  <c r="F29" i="6"/>
  <c r="E29" i="6"/>
  <c r="D29" i="6"/>
  <c r="H33" i="12"/>
  <c r="G33" i="12"/>
  <c r="F26" i="6"/>
  <c r="E26" i="6"/>
  <c r="D26" i="6"/>
  <c r="I72" i="18"/>
  <c r="H72" i="18"/>
  <c r="J72" i="18" s="1"/>
  <c r="I73" i="12"/>
  <c r="H73" i="12"/>
  <c r="H30" i="18"/>
  <c r="G30" i="18"/>
  <c r="H38" i="18"/>
  <c r="G38" i="18"/>
  <c r="C79" i="18"/>
  <c r="I78" i="18"/>
  <c r="I79" i="18" s="1"/>
  <c r="H78" i="18"/>
  <c r="H28" i="16"/>
  <c r="G28" i="16"/>
  <c r="H33" i="16"/>
  <c r="G33" i="16"/>
  <c r="H36" i="12"/>
  <c r="G36" i="12"/>
  <c r="F63" i="17"/>
  <c r="H72" i="13"/>
  <c r="I72" i="13"/>
  <c r="C79" i="16"/>
  <c r="I78" i="16"/>
  <c r="I79" i="16" s="1"/>
  <c r="H78" i="16"/>
  <c r="I68" i="15"/>
  <c r="H68" i="15"/>
  <c r="J68" i="15" s="1"/>
  <c r="H31" i="17"/>
  <c r="G31" i="17"/>
  <c r="I76" i="13"/>
  <c r="H76" i="13"/>
  <c r="J76" i="13" s="1"/>
  <c r="J7" i="6"/>
  <c r="I7" i="6"/>
  <c r="J54" i="14"/>
  <c r="B90" i="14" s="1"/>
  <c r="K42" i="7"/>
  <c r="L42" i="7" s="1"/>
  <c r="K38" i="7"/>
  <c r="L38" i="7" s="1"/>
  <c r="K34" i="7"/>
  <c r="L34" i="7" s="1"/>
  <c r="K30" i="7"/>
  <c r="L30" i="7" s="1"/>
  <c r="K26" i="7"/>
  <c r="L26" i="7" s="1"/>
  <c r="K22" i="7"/>
  <c r="L22" i="7" s="1"/>
  <c r="K18" i="7"/>
  <c r="L18" i="7" s="1"/>
  <c r="K45" i="7"/>
  <c r="L45" i="7" s="1"/>
  <c r="K41" i="7"/>
  <c r="L41" i="7" s="1"/>
  <c r="K37" i="7"/>
  <c r="L37" i="7" s="1"/>
  <c r="K29" i="7"/>
  <c r="L29" i="7" s="1"/>
  <c r="K25" i="7"/>
  <c r="L25" i="7" s="1"/>
  <c r="K21" i="7"/>
  <c r="L21" i="7" s="1"/>
  <c r="K17" i="7"/>
  <c r="L17" i="7" s="1"/>
  <c r="K33" i="7"/>
  <c r="L33" i="7" s="1"/>
  <c r="K44" i="7"/>
  <c r="L44" i="7" s="1"/>
  <c r="K36" i="7"/>
  <c r="L36" i="7" s="1"/>
  <c r="K28" i="7"/>
  <c r="L28" i="7" s="1"/>
  <c r="K20" i="7"/>
  <c r="L20" i="7" s="1"/>
  <c r="K40" i="7"/>
  <c r="L40" i="7" s="1"/>
  <c r="K32" i="7"/>
  <c r="L32" i="7" s="1"/>
  <c r="K24" i="7"/>
  <c r="L24" i="7" s="1"/>
  <c r="K16" i="7"/>
  <c r="L16" i="7" s="1"/>
  <c r="K39" i="7"/>
  <c r="L39" i="7" s="1"/>
  <c r="K35" i="7"/>
  <c r="L35" i="7" s="1"/>
  <c r="K27" i="7"/>
  <c r="L27" i="7" s="1"/>
  <c r="B32" i="10"/>
  <c r="B33" i="10" s="1"/>
  <c r="K43" i="7"/>
  <c r="L43" i="7" s="1"/>
  <c r="K31" i="7"/>
  <c r="L31" i="7" s="1"/>
  <c r="K23" i="7"/>
  <c r="L23" i="7" s="1"/>
  <c r="K19" i="7"/>
  <c r="L19" i="7" s="1"/>
  <c r="B28" i="3"/>
  <c r="B30" i="3" s="1"/>
  <c r="K46" i="7"/>
  <c r="L46" i="7" s="1"/>
  <c r="H33" i="18"/>
  <c r="G33" i="18"/>
  <c r="C38" i="14"/>
  <c r="C35" i="14"/>
  <c r="C32" i="14"/>
  <c r="C29" i="14"/>
  <c r="C26" i="14"/>
  <c r="B86" i="14"/>
  <c r="C31" i="14"/>
  <c r="C27" i="14"/>
  <c r="C34" i="14"/>
  <c r="C30" i="14"/>
  <c r="C33" i="14"/>
  <c r="C37" i="14"/>
  <c r="F20" i="14"/>
  <c r="C28" i="14"/>
  <c r="C36" i="14"/>
  <c r="I73" i="18"/>
  <c r="H73" i="18"/>
  <c r="J73" i="18" s="1"/>
  <c r="H31" i="16"/>
  <c r="G31" i="16"/>
  <c r="H36" i="16"/>
  <c r="G36" i="16"/>
  <c r="H28" i="12"/>
  <c r="G28" i="12"/>
  <c r="B84" i="13"/>
  <c r="H77" i="18"/>
  <c r="J77" i="18" s="1"/>
  <c r="I77" i="18"/>
  <c r="I74" i="15"/>
  <c r="H74" i="15"/>
  <c r="B83" i="13"/>
  <c r="B88" i="13"/>
  <c r="H27" i="17"/>
  <c r="G27" i="17"/>
  <c r="I71" i="16"/>
  <c r="H71" i="16"/>
  <c r="J71" i="16" s="1"/>
  <c r="I70" i="13"/>
  <c r="H70" i="13"/>
  <c r="J70" i="13" s="1"/>
  <c r="C39" i="15"/>
  <c r="H26" i="15"/>
  <c r="G26" i="15"/>
  <c r="I68" i="16"/>
  <c r="H68" i="16"/>
  <c r="J68" i="16" s="1"/>
  <c r="I73" i="16"/>
  <c r="H73" i="16"/>
  <c r="I70" i="15"/>
  <c r="H70" i="15"/>
  <c r="J70" i="15" s="1"/>
  <c r="I75" i="15"/>
  <c r="H75" i="15"/>
  <c r="J75" i="15" s="1"/>
  <c r="H34" i="17"/>
  <c r="G34" i="17"/>
  <c r="F63" i="14"/>
  <c r="B79" i="13"/>
  <c r="C67" i="13"/>
  <c r="K50" i="7"/>
  <c r="L50" i="7" s="1"/>
  <c r="K14" i="7"/>
  <c r="L14" i="7" s="1"/>
  <c r="K10" i="7"/>
  <c r="L10" i="7" s="1"/>
  <c r="K6" i="7"/>
  <c r="L6" i="7" s="1"/>
  <c r="K54" i="7"/>
  <c r="L54" i="7" s="1"/>
  <c r="K13" i="7"/>
  <c r="L13" i="7" s="1"/>
  <c r="K9" i="7"/>
  <c r="L9" i="7" s="1"/>
  <c r="K49" i="7"/>
  <c r="L49" i="7" s="1"/>
  <c r="K53" i="7"/>
  <c r="L53" i="7" s="1"/>
  <c r="K5" i="7"/>
  <c r="L5" i="7" s="1"/>
  <c r="K8" i="7"/>
  <c r="L8" i="7" s="1"/>
  <c r="K48" i="7"/>
  <c r="L48" i="7" s="1"/>
  <c r="K52" i="7"/>
  <c r="L52" i="7" s="1"/>
  <c r="K12" i="7"/>
  <c r="L12" i="7" s="1"/>
  <c r="K4" i="7"/>
  <c r="L4" i="7" s="1"/>
  <c r="K51" i="7"/>
  <c r="L51" i="7" s="1"/>
  <c r="K47" i="7"/>
  <c r="L47" i="7" s="1"/>
  <c r="K15" i="7"/>
  <c r="L15" i="7" s="1"/>
  <c r="K7" i="7"/>
  <c r="L7" i="7" s="1"/>
  <c r="K55" i="7"/>
  <c r="L55" i="7" s="1"/>
  <c r="K11" i="7"/>
  <c r="L11" i="7" s="1"/>
  <c r="B29" i="3"/>
  <c r="B31" i="3" s="1"/>
  <c r="I73" i="13"/>
  <c r="H73" i="13"/>
  <c r="J73" i="13" s="1"/>
  <c r="H36" i="18"/>
  <c r="G36" i="18"/>
  <c r="I68" i="18"/>
  <c r="H68" i="18"/>
  <c r="J68" i="18" s="1"/>
  <c r="H34" i="16"/>
  <c r="G34" i="16"/>
  <c r="J75" i="13"/>
  <c r="H31" i="12"/>
  <c r="G31" i="12"/>
  <c r="B84" i="14"/>
  <c r="I70" i="12"/>
  <c r="H70" i="12"/>
  <c r="J70" i="12" s="1"/>
  <c r="B71" i="17"/>
  <c r="C71" i="17" s="1"/>
  <c r="B76" i="17"/>
  <c r="C76" i="17" s="1"/>
  <c r="B69" i="17"/>
  <c r="C69" i="17" s="1"/>
  <c r="B74" i="17"/>
  <c r="C74" i="17" s="1"/>
  <c r="B67" i="17"/>
  <c r="B72" i="17"/>
  <c r="C72" i="17" s="1"/>
  <c r="B77" i="17"/>
  <c r="C77" i="17" s="1"/>
  <c r="B14" i="17"/>
  <c r="B70" i="17"/>
  <c r="C70" i="17" s="1"/>
  <c r="B75" i="17"/>
  <c r="C75" i="17" s="1"/>
  <c r="B68" i="17"/>
  <c r="C68" i="17" s="1"/>
  <c r="B73" i="17"/>
  <c r="C73" i="17" s="1"/>
  <c r="B78" i="17"/>
  <c r="C78" i="17" s="1"/>
  <c r="C67" i="18"/>
  <c r="B79" i="18"/>
  <c r="I73" i="15"/>
  <c r="H73" i="15"/>
  <c r="J73" i="15" s="1"/>
  <c r="J9" i="6"/>
  <c r="I9" i="6"/>
  <c r="I68" i="13"/>
  <c r="H68" i="13"/>
  <c r="G25" i="6"/>
  <c r="C25" i="6"/>
  <c r="H29" i="15"/>
  <c r="G29" i="15"/>
  <c r="I75" i="16"/>
  <c r="H75" i="16"/>
  <c r="C67" i="12"/>
  <c r="B79" i="12"/>
  <c r="H37" i="17"/>
  <c r="G37" i="17"/>
  <c r="G63" i="14"/>
  <c r="I58" i="14"/>
  <c r="I63" i="14" s="1"/>
  <c r="B91" i="14" s="1"/>
  <c r="H77" i="12"/>
  <c r="J77" i="12" s="1"/>
  <c r="I77" i="12"/>
  <c r="I69" i="13"/>
  <c r="H69" i="13"/>
  <c r="J69" i="13" s="1"/>
  <c r="I71" i="13"/>
  <c r="H71" i="13"/>
  <c r="H28" i="18"/>
  <c r="G28" i="18"/>
  <c r="J16" i="6"/>
  <c r="I16" i="6"/>
  <c r="I75" i="18"/>
  <c r="H75" i="18"/>
  <c r="H37" i="16"/>
  <c r="G37" i="16"/>
  <c r="H34" i="12"/>
  <c r="G34" i="12"/>
  <c r="E28" i="6"/>
  <c r="D28" i="6"/>
  <c r="F28" i="6"/>
  <c r="H38" i="15"/>
  <c r="G38" i="15"/>
  <c r="B87" i="14"/>
  <c r="H32" i="17"/>
  <c r="G32" i="17"/>
  <c r="B9" i="13"/>
  <c r="E36" i="1"/>
  <c r="H28" i="15"/>
  <c r="G28" i="15"/>
  <c r="H37" i="15"/>
  <c r="G37" i="15"/>
  <c r="H28" i="17"/>
  <c r="G28" i="17"/>
  <c r="J54" i="17"/>
  <c r="B90" i="17" s="1"/>
  <c r="B88" i="18"/>
  <c r="B83" i="18"/>
  <c r="B84" i="18" s="1"/>
  <c r="F63" i="15"/>
  <c r="H32" i="15"/>
  <c r="G32" i="15"/>
  <c r="I70" i="16"/>
  <c r="H70" i="16"/>
  <c r="I77" i="15"/>
  <c r="H77" i="15"/>
  <c r="J77" i="15" s="1"/>
  <c r="B84" i="17"/>
  <c r="E24" i="6"/>
  <c r="F24" i="6"/>
  <c r="D24" i="6"/>
  <c r="G63" i="13"/>
  <c r="H34" i="8"/>
  <c r="H31" i="18"/>
  <c r="G31" i="18"/>
  <c r="I54" i="12"/>
  <c r="J14" i="6"/>
  <c r="I14" i="6"/>
  <c r="I70" i="18"/>
  <c r="H70" i="18"/>
  <c r="J70" i="18" s="1"/>
  <c r="H37" i="12"/>
  <c r="G37" i="12"/>
  <c r="H29" i="17"/>
  <c r="G29" i="17"/>
  <c r="B84" i="15"/>
  <c r="H29" i="12"/>
  <c r="G29" i="12"/>
  <c r="H30" i="15"/>
  <c r="G30" i="15"/>
  <c r="E27" i="6"/>
  <c r="F27" i="6"/>
  <c r="D27" i="6"/>
  <c r="I74" i="16"/>
  <c r="H74" i="16"/>
  <c r="J74" i="16" s="1"/>
  <c r="H35" i="15"/>
  <c r="G35" i="15"/>
  <c r="F63" i="12"/>
  <c r="I72" i="15"/>
  <c r="H72" i="15"/>
  <c r="J72" i="15" s="1"/>
  <c r="H26" i="17"/>
  <c r="G26" i="17"/>
  <c r="C39" i="17"/>
  <c r="B77" i="14"/>
  <c r="C77" i="14" s="1"/>
  <c r="B14" i="14"/>
  <c r="B70" i="14"/>
  <c r="C70" i="14" s="1"/>
  <c r="B75" i="14"/>
  <c r="C75" i="14" s="1"/>
  <c r="B68" i="14"/>
  <c r="C68" i="14" s="1"/>
  <c r="B73" i="14"/>
  <c r="C73" i="14" s="1"/>
  <c r="B78" i="14"/>
  <c r="C78" i="14" s="1"/>
  <c r="B71" i="14"/>
  <c r="C71" i="14" s="1"/>
  <c r="B76" i="14"/>
  <c r="C76" i="14" s="1"/>
  <c r="B69" i="14"/>
  <c r="C69" i="14" s="1"/>
  <c r="B74" i="14"/>
  <c r="C74" i="14" s="1"/>
  <c r="B67" i="14"/>
  <c r="B72" i="14"/>
  <c r="C72" i="14" s="1"/>
  <c r="E11" i="2"/>
  <c r="C11" i="2"/>
  <c r="C79" i="12"/>
  <c r="I78" i="12"/>
  <c r="I79" i="12" s="1"/>
  <c r="H78" i="12"/>
  <c r="H34" i="18"/>
  <c r="G34" i="18"/>
  <c r="J12" i="6"/>
  <c r="I12" i="6"/>
  <c r="C39" i="16"/>
  <c r="H26" i="16"/>
  <c r="G26" i="16"/>
  <c r="H38" i="14" l="1"/>
  <c r="G38" i="14"/>
  <c r="B92" i="14"/>
  <c r="B89" i="14"/>
  <c r="H28" i="13"/>
  <c r="G28" i="13"/>
  <c r="J72" i="13"/>
  <c r="H33" i="14"/>
  <c r="G33" i="14"/>
  <c r="C67" i="17"/>
  <c r="B79" i="17"/>
  <c r="H30" i="14"/>
  <c r="G30" i="14"/>
  <c r="H39" i="12"/>
  <c r="B40" i="12" s="1"/>
  <c r="G39" i="12"/>
  <c r="H34" i="14"/>
  <c r="G34" i="14"/>
  <c r="I75" i="14"/>
  <c r="H75" i="14"/>
  <c r="J75" i="14" s="1"/>
  <c r="J6" i="6"/>
  <c r="I6" i="6"/>
  <c r="I72" i="17"/>
  <c r="H72" i="17"/>
  <c r="J72" i="17" s="1"/>
  <c r="H34" i="13"/>
  <c r="G34" i="13"/>
  <c r="I72" i="14"/>
  <c r="H72" i="14"/>
  <c r="I67" i="15"/>
  <c r="H67" i="15"/>
  <c r="H29" i="13"/>
  <c r="G29" i="13"/>
  <c r="B92" i="18"/>
  <c r="B89" i="18"/>
  <c r="C67" i="14"/>
  <c r="B79" i="14"/>
  <c r="H39" i="17"/>
  <c r="B40" i="17" s="1"/>
  <c r="G39" i="17"/>
  <c r="J71" i="13"/>
  <c r="J75" i="16"/>
  <c r="I69" i="17"/>
  <c r="H69" i="17"/>
  <c r="J73" i="16"/>
  <c r="H27" i="14"/>
  <c r="G27" i="14"/>
  <c r="J73" i="12"/>
  <c r="H32" i="13"/>
  <c r="G32" i="13"/>
  <c r="J70" i="16"/>
  <c r="I67" i="18"/>
  <c r="H67" i="18"/>
  <c r="J67" i="18" s="1"/>
  <c r="I76" i="17"/>
  <c r="H76" i="17"/>
  <c r="J76" i="17" s="1"/>
  <c r="H31" i="14"/>
  <c r="G31" i="14"/>
  <c r="H79" i="15"/>
  <c r="J78" i="15"/>
  <c r="B92" i="15"/>
  <c r="B89" i="15"/>
  <c r="I67" i="16"/>
  <c r="H67" i="16"/>
  <c r="J67" i="16" s="1"/>
  <c r="H79" i="13"/>
  <c r="J78" i="13"/>
  <c r="G30" i="6"/>
  <c r="H35" i="13"/>
  <c r="G35" i="13"/>
  <c r="I77" i="14"/>
  <c r="H77" i="14"/>
  <c r="J77" i="14" s="1"/>
  <c r="I69" i="14"/>
  <c r="H69" i="14"/>
  <c r="H36" i="13"/>
  <c r="G36" i="13"/>
  <c r="H37" i="14"/>
  <c r="G37" i="14"/>
  <c r="I70" i="14"/>
  <c r="H70" i="14"/>
  <c r="J71" i="15"/>
  <c r="H38" i="13"/>
  <c r="G38" i="13"/>
  <c r="I67" i="12"/>
  <c r="H67" i="12"/>
  <c r="J67" i="12" s="1"/>
  <c r="I71" i="17"/>
  <c r="H71" i="17"/>
  <c r="J71" i="17" s="1"/>
  <c r="I76" i="14"/>
  <c r="H76" i="14"/>
  <c r="J76" i="14" s="1"/>
  <c r="I73" i="17"/>
  <c r="H73" i="17"/>
  <c r="J73" i="17" s="1"/>
  <c r="I67" i="13"/>
  <c r="H67" i="13"/>
  <c r="J67" i="13" s="1"/>
  <c r="H26" i="14"/>
  <c r="C39" i="14"/>
  <c r="G26" i="14"/>
  <c r="D23" i="6"/>
  <c r="C30" i="6"/>
  <c r="F23" i="6"/>
  <c r="F30" i="6" s="1"/>
  <c r="E23" i="6"/>
  <c r="E30" i="6" s="1"/>
  <c r="H27" i="13"/>
  <c r="G27" i="13"/>
  <c r="H31" i="13"/>
  <c r="G31" i="13"/>
  <c r="H26" i="13"/>
  <c r="C39" i="13"/>
  <c r="G26" i="13"/>
  <c r="I74" i="17"/>
  <c r="H74" i="17"/>
  <c r="J74" i="17" s="1"/>
  <c r="H39" i="16"/>
  <c r="B40" i="16" s="1"/>
  <c r="G39" i="16"/>
  <c r="I74" i="14"/>
  <c r="H74" i="14"/>
  <c r="J74" i="14" s="1"/>
  <c r="C79" i="17"/>
  <c r="I78" i="17"/>
  <c r="I79" i="17" s="1"/>
  <c r="H78" i="17"/>
  <c r="I71" i="14"/>
  <c r="H71" i="14"/>
  <c r="F25" i="6"/>
  <c r="E25" i="6"/>
  <c r="D25" i="6"/>
  <c r="I68" i="17"/>
  <c r="H68" i="17"/>
  <c r="J68" i="17" s="1"/>
  <c r="J74" i="15"/>
  <c r="H29" i="14"/>
  <c r="G29" i="14"/>
  <c r="H79" i="16"/>
  <c r="J78" i="16"/>
  <c r="J74" i="12"/>
  <c r="J72" i="12"/>
  <c r="H30" i="13"/>
  <c r="G30" i="13"/>
  <c r="B89" i="17"/>
  <c r="B92" i="17"/>
  <c r="I78" i="14"/>
  <c r="I79" i="14" s="1"/>
  <c r="H78" i="14"/>
  <c r="C79" i="14"/>
  <c r="I75" i="17"/>
  <c r="H75" i="17"/>
  <c r="J75" i="17" s="1"/>
  <c r="H36" i="14"/>
  <c r="G36" i="14"/>
  <c r="H32" i="14"/>
  <c r="G32" i="14"/>
  <c r="J78" i="18"/>
  <c r="H79" i="18"/>
  <c r="J69" i="16"/>
  <c r="H33" i="13"/>
  <c r="G33" i="13"/>
  <c r="I68" i="14"/>
  <c r="H68" i="14"/>
  <c r="I77" i="17"/>
  <c r="H77" i="17"/>
  <c r="J78" i="12"/>
  <c r="H79" i="12"/>
  <c r="H73" i="14"/>
  <c r="I73" i="14"/>
  <c r="G39" i="18"/>
  <c r="J75" i="18"/>
  <c r="J68" i="13"/>
  <c r="I70" i="17"/>
  <c r="H70" i="17"/>
  <c r="J70" i="17" s="1"/>
  <c r="H39" i="15"/>
  <c r="B40" i="15" s="1"/>
  <c r="G39" i="15"/>
  <c r="H28" i="14"/>
  <c r="G28" i="14"/>
  <c r="H35" i="14"/>
  <c r="G35" i="14"/>
  <c r="J76" i="16"/>
  <c r="J76" i="15"/>
  <c r="J69" i="18"/>
  <c r="H37" i="13"/>
  <c r="G37" i="13"/>
  <c r="I67" i="14" l="1"/>
  <c r="H67" i="14"/>
  <c r="J67" i="14" s="1"/>
  <c r="H67" i="17"/>
  <c r="I67" i="17"/>
  <c r="J69" i="14"/>
  <c r="J73" i="14"/>
  <c r="H39" i="14"/>
  <c r="B40" i="14" s="1"/>
  <c r="G39" i="14"/>
  <c r="D30" i="6"/>
  <c r="J71" i="14"/>
  <c r="H39" i="13"/>
  <c r="B40" i="13" s="1"/>
  <c r="G39" i="13"/>
  <c r="J69" i="17"/>
  <c r="J67" i="15"/>
  <c r="J77" i="17"/>
  <c r="J78" i="17"/>
  <c r="H79" i="17"/>
  <c r="J70" i="14"/>
  <c r="J72" i="14"/>
  <c r="H79" i="14"/>
  <c r="J78" i="14"/>
  <c r="J68" i="14"/>
  <c r="J67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44" authorId="0" shapeId="0" xr:uid="{00000000-0006-0000-0E00-000002000000}">
      <text>
        <r>
          <rPr>
            <sz val="10"/>
            <rFont val="Arial"/>
            <family val="2"/>
          </rPr>
          <t>Chloe proposes 12 sessions at £12K/session.
Base: £144,000 + 29.38% on-costs = £186,307.20
Leaves £45,686 for ACP</t>
        </r>
      </text>
    </comment>
    <comment ref="A45" authorId="0" shapeId="0" xr:uid="{00000000-0006-0000-0E00-000001000000}">
      <text>
        <r>
          <rPr>
            <sz val="10"/>
            <rFont val="Arial"/>
            <family val="2"/>
          </rPr>
          <t>Chloe proposes ACP at £28.15/hr × 24hrs/wk × 52wks.
Base: £35,131.20 + 29.38% on-costs = £45,452.75
Budget remaining after GP + ACP: ~£234
Converted to session rate for consistency.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44" authorId="0" shapeId="0" xr:uid="{00000000-0006-0000-1100-000002000000}">
      <text>
        <r>
          <rPr>
            <sz val="10"/>
            <rFont val="Arial"/>
            <family val="2"/>
          </rPr>
          <t>Nicola proposes £11K-£12K DOE.
£11K = £113,854 total inc on-costs (leaves £10,555 headroom)
£12K = £124,205 total inc on-costs (leaves £204 headroom)
New recruit on less than current salarieds (£12,700/session)</t>
        </r>
      </text>
    </comment>
    <comment ref="A58" authorId="0" shapeId="0" xr:uid="{00000000-0006-0000-1100-000001000000}">
      <text>
        <r>
          <rPr>
            <sz val="10"/>
            <rFont val="Arial"/>
            <family val="2"/>
          </rPr>
          <t>Buy-back becomes possible once new GP is recruited.
Denton currently provides 204-303 SDA appts/wk vs ~96 target.
Massive surplus enables significant buy-back claim.</t>
        </r>
      </text>
    </comment>
  </commentList>
</comments>
</file>

<file path=xl/sharedStrings.xml><?xml version="1.0" encoding="utf-8"?>
<sst xmlns="http://schemas.openxmlformats.org/spreadsheetml/2006/main" count="1613" uniqueCount="474">
  <si>
    <t>NRES SDA ROTA MANAGEMENT SYSTEM — KEY ASSUMPTIONS</t>
  </si>
  <si>
    <t>Yellow cells are adjustable inputs — changes cascade to all tabs via formulas</t>
  </si>
  <si>
    <t>CONTRACT PARAMETERS</t>
  </si>
  <si>
    <t>Parameter</t>
  </si>
  <si>
    <t>Value</t>
  </si>
  <si>
    <t>Unit</t>
  </si>
  <si>
    <t>Source / Notes</t>
  </si>
  <si>
    <t>Per-patient funding rate</t>
  </si>
  <si>
    <t>£/patient/year</t>
  </si>
  <si>
    <t>ICB Enhanced Service spec</t>
  </si>
  <si>
    <t>Total registered patients</t>
  </si>
  <si>
    <t>patients</t>
  </si>
  <si>
    <t>Feb 2026 list sizes — adjustable below</t>
  </si>
  <si>
    <t>Annual contract value</t>
  </si>
  <si>
    <t>£</t>
  </si>
  <si>
    <t>Auto-calculated</t>
  </si>
  <si>
    <t>Contract start date</t>
  </si>
  <si>
    <t>01/04/2026</t>
  </si>
  <si>
    <t>date</t>
  </si>
  <si>
    <t>Financial year start</t>
  </si>
  <si>
    <t>Non-winter weeks</t>
  </si>
  <si>
    <t>weeks</t>
  </si>
  <si>
    <t>Standard period</t>
  </si>
  <si>
    <t>Winter weeks</t>
  </si>
  <si>
    <t>Enhanced delivery Nov–Feb</t>
  </si>
  <si>
    <t>Total operating weeks</t>
  </si>
  <si>
    <t>Non-winter appt rate</t>
  </si>
  <si>
    <t>per 1,000/wk</t>
  </si>
  <si>
    <t>ICB spec minimum</t>
  </si>
  <si>
    <t>Winter appt rate</t>
  </si>
  <si>
    <t>F2F / Remote split</t>
  </si>
  <si>
    <t>% each</t>
  </si>
  <si>
    <t xml:space="preserve">50% remote </t>
  </si>
  <si>
    <t>Overhead / buffer %</t>
  </si>
  <si>
    <t>% of allocation</t>
  </si>
  <si>
    <t>25% for overheads</t>
  </si>
  <si>
    <t>On-costs %</t>
  </si>
  <si>
    <t>%</t>
  </si>
  <si>
    <t>Employer NI + pension</t>
  </si>
  <si>
    <t>Monthly instalments</t>
  </si>
  <si>
    <t>per year</t>
  </si>
  <si>
    <t>Equal 1/12th payments</t>
  </si>
  <si>
    <t>STAFF TYPE SESSION CONFIGURATION (BMA Standard Session = 4hrs 10mins / 250 mins)</t>
  </si>
  <si>
    <t>Staff Type</t>
  </si>
  <si>
    <t>Appts/Session (F2F)</t>
  </si>
  <si>
    <t>Appt Duration F2F (mins)</t>
  </si>
  <si>
    <t>Appts/Session (Remote)</t>
  </si>
  <si>
    <t>Appt Duration Remote (mins)</t>
  </si>
  <si>
    <t>Buy-Back Rate/Session (£)</t>
  </si>
  <si>
    <t>GP</t>
  </si>
  <si>
    <t>ACP</t>
  </si>
  <si>
    <t>ANP</t>
  </si>
  <si>
    <t>Additional roles (Paramedic, Clinical Pharmacist, PA, FCP, MHP): configurable in system — same defaults (12 appts × 15 mins). Buy-back rates TBC.</t>
  </si>
  <si>
    <t>PRACTICE LIST SIZES (ADJUSTABLE — UPDATE QUARTERLY)</t>
  </si>
  <si>
    <t>Practice</t>
  </si>
  <si>
    <t>List Size</t>
  </si>
  <si>
    <t>Hub/Spoke</t>
  </si>
  <si>
    <t>Clinical System</t>
  </si>
  <si>
    <t>% of Total</t>
  </si>
  <si>
    <t>The Parks MC</t>
  </si>
  <si>
    <t>HUB</t>
  </si>
  <si>
    <t>SystmOne</t>
  </si>
  <si>
    <t>Brackley MC</t>
  </si>
  <si>
    <t>Springfield Surgery</t>
  </si>
  <si>
    <t>SPOKE</t>
  </si>
  <si>
    <t>EMIS</t>
  </si>
  <si>
    <t>Towcester MC</t>
  </si>
  <si>
    <t>Bugbrooke Surgery</t>
  </si>
  <si>
    <t>Brook Health Centre</t>
  </si>
  <si>
    <t>Denton Village Surgery</t>
  </si>
  <si>
    <t>TOTAL</t>
  </si>
  <si>
    <t>MANAGEMENT &amp; PROGRAMME RATES (From 1st April 2026)</t>
  </si>
  <si>
    <t>Role</t>
  </si>
  <si>
    <t>Hourly Rate (£) Inc On Costs</t>
  </si>
  <si>
    <t>Hours/Week</t>
  </si>
  <si>
    <t>Weeks/Year</t>
  </si>
  <si>
    <t xml:space="preserve">Annual Cost </t>
  </si>
  <si>
    <t>Reclaim Method</t>
  </si>
  <si>
    <t>Senior Responsible Officer (SRO) - Dr Mark Gray</t>
  </si>
  <si>
    <t>Claimed from PML</t>
  </si>
  <si>
    <t xml:space="preserve">SNO Programme Director </t>
  </si>
  <si>
    <t>Clinical Lead - Dr Simon Ellis</t>
  </si>
  <si>
    <t>Claimed from TMC</t>
  </si>
  <si>
    <t>Managerial Lead - Amanda Palin</t>
  </si>
  <si>
    <t xml:space="preserve">Claimed from B&amp;T PCN </t>
  </si>
  <si>
    <t>Managerial Lead Support - Lucy Hibberd</t>
  </si>
  <si>
    <t>Claimed from BMP</t>
  </si>
  <si>
    <t>Digital and Estates Support - Alex Whitehead</t>
  </si>
  <si>
    <t>Claimed from The Parks</t>
  </si>
  <si>
    <t xml:space="preserve">Digital &amp; Estates Lead - Malcolm Railson </t>
  </si>
  <si>
    <t>SNO Admin Costs TBC</t>
  </si>
  <si>
    <t>Member Practice PM Meeting Attendance Reimbursements</t>
  </si>
  <si>
    <t>£50 per hour</t>
  </si>
  <si>
    <t>Member Practice GP Meeting Attendance Reimbursements</t>
  </si>
  <si>
    <t>£100 per hour</t>
  </si>
  <si>
    <t>NRES PRACTICE ALLOCATIONS &amp; WEEKLY TARGETS</t>
  </si>
  <si>
    <t>All values formula-driven from Assumptions tab — update list sizes there</t>
  </si>
  <si>
    <t>Annual Allocation (£)</t>
  </si>
  <si>
    <t>Monthly Instalment (£)</t>
  </si>
  <si>
    <t>Recruit Budget 75% (£)</t>
  </si>
  <si>
    <t>Wkly Min (Non-Winter)</t>
  </si>
  <si>
    <t>F2F (50%)</t>
  </si>
  <si>
    <t>Remote (50%)</t>
  </si>
  <si>
    <t>Wkly Min (Winter)</t>
  </si>
  <si>
    <t>Annual Target (Appts)</t>
  </si>
  <si>
    <t>NEIGHBOURHOOD TOTAL</t>
  </si>
  <si>
    <t>From Michael Chapman 19.02.26</t>
  </si>
  <si>
    <t>K Code</t>
  </si>
  <si>
    <t>Practice Name</t>
  </si>
  <si>
    <t>Actual List (April 25)</t>
  </si>
  <si>
    <t>Actual List (Jan 26)</t>
  </si>
  <si>
    <t>Variance</t>
  </si>
  <si>
    <t>K83018</t>
  </si>
  <si>
    <t>K83022</t>
  </si>
  <si>
    <t>Paulerspury Surgery</t>
  </si>
  <si>
    <t>Towcester Medical Centre</t>
  </si>
  <si>
    <t>K83049</t>
  </si>
  <si>
    <t>Brackley Medical Centre</t>
  </si>
  <si>
    <t>K83052</t>
  </si>
  <si>
    <t>Grange Park</t>
  </si>
  <si>
    <t>Hanslope Surgery</t>
  </si>
  <si>
    <t>Roade Medical Centre</t>
  </si>
  <si>
    <t xml:space="preserve">The Parks Medical Practice </t>
  </si>
  <si>
    <t>K83068</t>
  </si>
  <si>
    <t>K83070</t>
  </si>
  <si>
    <t>K83620</t>
  </si>
  <si>
    <t>Silverstone Surgery</t>
  </si>
  <si>
    <t>The Brook Health Centre (Towcester)</t>
  </si>
  <si>
    <t>Neighbourhood list size</t>
  </si>
  <si>
    <t>Additional appointments required P/W</t>
  </si>
  <si>
    <t>Additional appointments required P/W serge</t>
  </si>
  <si>
    <t>New Models of Care Total Amount</t>
  </si>
  <si>
    <t>AVAILABLE CLINICAL ROOMS BY DAY &amp; SESSION (APPOINTMENTS)</t>
  </si>
  <si>
    <t>Yellow cells are editable — update as estate changes. 1 session = 12 appointments (default)</t>
  </si>
  <si>
    <t>Session</t>
  </si>
  <si>
    <t>The Parks (4 sites)</t>
  </si>
  <si>
    <t>Springfield</t>
  </si>
  <si>
    <t>Brackley</t>
  </si>
  <si>
    <t>Brook</t>
  </si>
  <si>
    <t>Bugbrooke</t>
  </si>
  <si>
    <t>Denton</t>
  </si>
  <si>
    <t>Towcester</t>
  </si>
  <si>
    <t>Total</t>
  </si>
  <si>
    <t>Monday AM</t>
  </si>
  <si>
    <t>Monday PM</t>
  </si>
  <si>
    <t>Tuesday AM</t>
  </si>
  <si>
    <t>Tuesday PM</t>
  </si>
  <si>
    <t>Wednesday AM</t>
  </si>
  <si>
    <t>Wednesday PM</t>
  </si>
  <si>
    <t>Thursday AM</t>
  </si>
  <si>
    <t>Thursday PM</t>
  </si>
  <si>
    <t>Friday AM</t>
  </si>
  <si>
    <t>Friday PM</t>
  </si>
  <si>
    <t>WEEKLY TOTAL</t>
  </si>
  <si>
    <t>PRACTICE ESTATE SUMMARY</t>
  </si>
  <si>
    <t>Weekly On-Site Appts</t>
  </si>
  <si>
    <t>Non-Winter Remote Need</t>
  </si>
  <si>
    <t>Winter Remote Need</t>
  </si>
  <si>
    <t>Brook Health</t>
  </si>
  <si>
    <t>Denton Village</t>
  </si>
  <si>
    <t>CAPACITY GAP ANALYSIS</t>
  </si>
  <si>
    <t>Total on-site capacity/week</t>
  </si>
  <si>
    <t>Non-Winter target/week</t>
  </si>
  <si>
    <t>Winter target/week</t>
  </si>
  <si>
    <t>Remote needed (Non-Winter)</t>
  </si>
  <si>
    <t>Remote needed (Winter)</t>
  </si>
  <si>
    <t>WEEKLY ROTA — SDA SESSION TRACKER</t>
  </si>
  <si>
    <t>Week Number:</t>
  </si>
  <si>
    <t>Period:</t>
  </si>
  <si>
    <t>Non-Winter</t>
  </si>
  <si>
    <t>Practice Filter:</t>
  </si>
  <si>
    <t>ALL</t>
  </si>
  <si>
    <t>Day</t>
  </si>
  <si>
    <t>Staff Name</t>
  </si>
  <si>
    <t>Provision Type</t>
  </si>
  <si>
    <t>Appts</t>
  </si>
  <si>
    <t>Delivery Mode</t>
  </si>
  <si>
    <t>Location/Site</t>
  </si>
  <si>
    <t>Remote?</t>
  </si>
  <si>
    <t>Notes</t>
  </si>
  <si>
    <t>Cost Est (£)</t>
  </si>
  <si>
    <t>WEEKLY ROTA SUMMARY</t>
  </si>
  <si>
    <t>Metric</t>
  </si>
  <si>
    <t>Total sessions scheduled</t>
  </si>
  <si>
    <t>Total appointments</t>
  </si>
  <si>
    <t>New SDA appointments</t>
  </si>
  <si>
    <t>Buy-Back appointments</t>
  </si>
  <si>
    <t>Remote appointments</t>
  </si>
  <si>
    <t>F2F appointments</t>
  </si>
  <si>
    <t>Remote %</t>
  </si>
  <si>
    <t>Buy-Back %</t>
  </si>
  <si>
    <t>BUY-BACK SCHEME TRACKER — OPEN BOOK ACCOUNTING</t>
  </si>
  <si>
    <t>All buy-back applications must be approved by Dr Mark Gray (SNO). Standard GP buy-back rate: £11,000/session. Open book — visible to all practices.</t>
  </si>
  <si>
    <t>BUY-BACK APPLICATIONS</t>
  </si>
  <si>
    <t>Ref</t>
  </si>
  <si>
    <t>Staff Role</t>
  </si>
  <si>
    <t>Sessions/Wk</t>
  </si>
  <si>
    <t>Buy-Back Rate (£/session)</t>
  </si>
  <si>
    <t>Annual Cost (£)</t>
  </si>
  <si>
    <t>On-Costs %</t>
  </si>
  <si>
    <t>Total inc On-Costs (£)</t>
  </si>
  <si>
    <t>Same-Day %</t>
  </si>
  <si>
    <t>Buy-Back Claim Value (£)</t>
  </si>
  <si>
    <t>SDA Appts/Wk</t>
  </si>
  <si>
    <t>Status</t>
  </si>
  <si>
    <t>Approved By</t>
  </si>
  <si>
    <t>Approval Date</t>
  </si>
  <si>
    <t>Reinvestment Plan</t>
  </si>
  <si>
    <t>BB-001</t>
  </si>
  <si>
    <t>TBC — New GP Recruit</t>
  </si>
  <si>
    <t>Draft</t>
  </si>
  <si>
    <t>Recruit 8-session GP at £11K-£12K DOE for proactive care</t>
  </si>
  <si>
    <t>BB-002</t>
  </si>
  <si>
    <t>N/A — SEE NOTES</t>
  </si>
  <si>
    <t>GP + ACP</t>
  </si>
  <si>
    <t>N/A</t>
  </si>
  <si>
    <t>⚠️ NOT A BUY-BACK — Towcester currently below target (62%). New staff = New SDA to meet minimum, not buy-back. Recruitment proceeds but classified as New SDA provision.</t>
  </si>
  <si>
    <t>BB-003</t>
  </si>
  <si>
    <t>BB-004</t>
  </si>
  <si>
    <t>BB-005</t>
  </si>
  <si>
    <t>BB-006</t>
  </si>
  <si>
    <t>BB-007</t>
  </si>
  <si>
    <t>BB-008</t>
  </si>
  <si>
    <t>BB-009</t>
  </si>
  <si>
    <t>BB-010</t>
  </si>
  <si>
    <t>BB-011</t>
  </si>
  <si>
    <t>BB-012</t>
  </si>
  <si>
    <t>BB-013</t>
  </si>
  <si>
    <t>BB-014</t>
  </si>
  <si>
    <t>BB-015</t>
  </si>
  <si>
    <t>BB-016</t>
  </si>
  <si>
    <t>BB-017</t>
  </si>
  <si>
    <t>BB-018</t>
  </si>
  <si>
    <t>BB-019</t>
  </si>
  <si>
    <t>BB-020</t>
  </si>
  <si>
    <t>BUY-BACK SUMMARY BY PRACTICE</t>
  </si>
  <si>
    <t>Applications</t>
  </si>
  <si>
    <t>Approved Claims (£)</t>
  </si>
  <si>
    <t>Pending Claims (£)</t>
  </si>
  <si>
    <t>Total Claimed (£)</t>
  </si>
  <si>
    <t>SDA Appts Covered/Wk</t>
  </si>
  <si>
    <t>MONTHLY CONTRACT CASH FLOW &amp; MAX CLAIMABLE VALUE</t>
  </si>
  <si>
    <t>Contract paid in 12 equal monthly instalments — practices cannot claim more than has been received. Open book.</t>
  </si>
  <si>
    <t>NEIGHBOURHOOD CASH FLOW (ALL PRACTICES)</t>
  </si>
  <si>
    <t>Month</t>
  </si>
  <si>
    <t>Month Name</t>
  </si>
  <si>
    <t>Cumulative Paid (£)</t>
  </si>
  <si>
    <t>New SDA Spend (£)</t>
  </si>
  <si>
    <t>Buy-Back Drawn (£)</t>
  </si>
  <si>
    <t>Cumulative Claimed (£)</t>
  </si>
  <si>
    <t>Remaining Claimable (£)</t>
  </si>
  <si>
    <t>% Drawn Down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</si>
  <si>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</si>
  <si>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</si>
  <si>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</si>
  <si>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</si>
  <si>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</si>
  <si>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</si>
  <si>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</si>
  <si>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</si>
  <si>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</si>
  <si>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</si>
  <si>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</si>
  <si>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</si>
  <si>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ANNUAL TOTAL</t>
  </si>
  <si>
    <t>MONTHLY INSTALMENT PER PRACTICE</t>
  </si>
  <si>
    <t>3-Month Cumulative (£)</t>
  </si>
  <si>
    <t>6-Month Cumulative (£)</t>
  </si>
  <si>
    <t>9-Month Cumulative (£)</t>
  </si>
  <si>
    <t>12-Month Cumulative (£)</t>
  </si>
  <si>
    <t>WEEKLY COMPLIANCE TRACKER — ACTUALS VS TARGETS</t>
  </si>
  <si>
    <t>Enter actual weekly appointments delivered per practice. RAG status auto-calculates. Green ≥100%, Amber ≥80%, Red &lt;80%.</t>
  </si>
  <si>
    <t>Week</t>
  </si>
  <si>
    <t>Period</t>
  </si>
  <si>
    <t>Total Actual</t>
  </si>
  <si>
    <t>Total Target</t>
  </si>
  <si>
    <t>RAG</t>
  </si>
  <si>
    <t>Winter</t>
  </si>
  <si>
    <t>SDA WORKFORCE DIRECTORY</t>
  </si>
  <si>
    <t>Home Practice</t>
  </si>
  <si>
    <t>Contract Type</t>
  </si>
  <si>
    <t>Cost/Session (£)</t>
  </si>
  <si>
    <t>On-Costs (£)</t>
  </si>
  <si>
    <t>Total Cost (£)</t>
  </si>
  <si>
    <t>Works At (Sites)</t>
  </si>
  <si>
    <t>Available Days</t>
  </si>
  <si>
    <t>TOTAL WORKFORCE COST</t>
  </si>
  <si>
    <t>PRACTICE EMAIL CONTACTS — FOR AUTOMATED REPORTS</t>
  </si>
  <si>
    <t>Maintain email contacts per practice for scheduled report distribution</t>
  </si>
  <si>
    <t>Contact Name</t>
  </si>
  <si>
    <t>Email</t>
  </si>
  <si>
    <t>Primary?</t>
  </si>
  <si>
    <t>Weekly Report</t>
  </si>
  <si>
    <t>Monthly Report</t>
  </si>
  <si>
    <t>Alerts</t>
  </si>
  <si>
    <t>BOARD &amp; ICB CONTACTS</t>
  </si>
  <si>
    <t>NRES Board / ICB</t>
  </si>
  <si>
    <t>Dr Mark Gray</t>
  </si>
  <si>
    <t>SNO / Clinical Lead</t>
  </si>
  <si>
    <t>Malcolm Railson</t>
  </si>
  <si>
    <t>Digital &amp; Transformation Lead</t>
  </si>
  <si>
    <t>Amanda Palin</t>
  </si>
  <si>
    <t>Joint Practice Rep</t>
  </si>
  <si>
    <t>Dr Simon Ellis</t>
  </si>
  <si>
    <t>Board Chair / GP Partner</t>
  </si>
  <si>
    <t>ICB Finance Contact</t>
  </si>
  <si>
    <t>ICB Programme Lead</t>
  </si>
  <si>
    <t>MONTHLY ROTA OVERVIEW — PRACTICE VIEW</t>
  </si>
  <si>
    <t>Month:</t>
  </si>
  <si>
    <t>April 2026</t>
  </si>
  <si>
    <t>Practice:</t>
  </si>
  <si>
    <t>MONTHLY PLANNING GRID</t>
  </si>
  <si>
    <t>Mon</t>
  </si>
  <si>
    <t>Tue</t>
  </si>
  <si>
    <t>Wed</t>
  </si>
  <si>
    <t>Thu</t>
  </si>
  <si>
    <t>Fri</t>
  </si>
  <si>
    <t>Sat</t>
  </si>
  <si>
    <t>Weekly Total</t>
  </si>
  <si>
    <t>Week 1 — Sessions</t>
  </si>
  <si>
    <t>Appointments</t>
  </si>
  <si>
    <t>— New SDA</t>
  </si>
  <si>
    <t>— Buy-Back</t>
  </si>
  <si>
    <t>Week 2 — Sessions</t>
  </si>
  <si>
    <t>Week 3 — Sessions</t>
  </si>
  <si>
    <t>Week 4 — Sessions</t>
  </si>
  <si>
    <t>Week 5 — Sessions</t>
  </si>
  <si>
    <t>MONTHLY SUMMARY</t>
  </si>
  <si>
    <t>Total Sessions (Month)</t>
  </si>
  <si>
    <t>Total Appointments (Month)</t>
  </si>
  <si>
    <t>New SDA Appointments</t>
  </si>
  <si>
    <t>Buy-Back Appointments</t>
  </si>
  <si>
    <t>Monthly Target (approx)</t>
  </si>
  <si>
    <t>AUDIT TRAIL — CHANGE LOG</t>
  </si>
  <si>
    <t>Record all changes for governance. Managed by Super Users (Malcolm &amp; Amanda). Immutable once entered.</t>
  </si>
  <si>
    <t>Date</t>
  </si>
  <si>
    <t>Changed By</t>
  </si>
  <si>
    <t>Practice Affected</t>
  </si>
  <si>
    <t>What Changed</t>
  </si>
  <si>
    <t>Previous Value</t>
  </si>
  <si>
    <t>New Value</t>
  </si>
  <si>
    <t>On Behalf Of</t>
  </si>
  <si>
    <t>The Parks MC — NRES SDA PRACTICE DASHBOARD</t>
  </si>
  <si>
    <t>Complete view: contract allocation, targets, actuals, workforce, buy-back, cash flow &amp; compliance</t>
  </si>
  <si>
    <t>PRACTICE PROFILE</t>
  </si>
  <si>
    <t>Hub / Spoke</t>
  </si>
  <si>
    <t>% of Neighbourhood</t>
  </si>
  <si>
    <t>CONTRACT ALLOCATION (OPEN BOOK)</t>
  </si>
  <si>
    <t>Annual Allocation</t>
  </si>
  <si>
    <t>Monthly Instalment (1/12th)</t>
  </si>
  <si>
    <t>Recruitment Budget (75%)</t>
  </si>
  <si>
    <t>Overheads (25%)</t>
  </si>
  <si>
    <t>WEEKLY APPOINTMENT TARGETS</t>
  </si>
  <si>
    <t>Weeks</t>
  </si>
  <si>
    <t>Target/Wk</t>
  </si>
  <si>
    <t>Seasonal Total</t>
  </si>
  <si>
    <t>WEEKLY ACTUALS vs TARGETS (FIRST 13 WEEKS — ADD MORE AS NEEDED)</t>
  </si>
  <si>
    <t>Target</t>
  </si>
  <si>
    <t>F2F Actual</t>
  </si>
  <si>
    <t>Remote Actual</t>
  </si>
  <si>
    <t>% Achieved</t>
  </si>
  <si>
    <t>New SDA</t>
  </si>
  <si>
    <t>Buy-Back</t>
  </si>
  <si>
    <t>TOTAL (Wks 1-13)</t>
  </si>
  <si>
    <t>RAG Status</t>
  </si>
  <si>
    <t>STAFF DEPLOYED AT THIS PRACTICE</t>
  </si>
  <si>
    <t>Appts/Session</t>
  </si>
  <si>
    <t>Appts/Wk</t>
  </si>
  <si>
    <t>Total (£)</t>
  </si>
  <si>
    <t>TOTAL STAFF COST</t>
  </si>
  <si>
    <t>BUY-BACK APPLICATIONS FOR THIS PRACTICE</t>
  </si>
  <si>
    <t>Rate/Session (£)</t>
  </si>
  <si>
    <t>Annual (£)</t>
  </si>
  <si>
    <t>Total inc OC (£)</t>
  </si>
  <si>
    <t>Claim Value (£)</t>
  </si>
  <si>
    <t>TOTAL BUY-BACK</t>
  </si>
  <si>
    <t>MONTHLY CASH FLOW — THIS PRACTICE (OPEN BOOK)</t>
  </si>
  <si>
    <t>Instalment (£)</t>
  </si>
  <si>
    <t>Cumul. Paid (£)</t>
  </si>
  <si>
    <t>Cumul. Claimed (£)</t>
  </si>
  <si>
    <t>Headroom (£)</t>
  </si>
  <si>
    <t>% Drawn</t>
  </si>
  <si>
    <t>ANNUAL</t>
  </si>
  <si>
    <t>COMPLIANCE SUMMARY</t>
  </si>
  <si>
    <t>Annual appointment target</t>
  </si>
  <si>
    <t>Appointments delivered YTD</t>
  </si>
  <si>
    <t>% of annual target achieved</t>
  </si>
  <si>
    <t>Average weekly delivery (first 13 wks)</t>
  </si>
  <si>
    <t>Non-winter weekly target</t>
  </si>
  <si>
    <t>Variance (avg vs target)</t>
  </si>
  <si>
    <t>Remote % (of total delivered)</t>
  </si>
  <si>
    <t>Remote % compliant? (≥50%)</t>
  </si>
  <si>
    <t>Total workforce cost (this practice)</t>
  </si>
  <si>
    <t>Total buy-back claims</t>
  </si>
  <si>
    <t>Total expenditure (staff + buy-back)</t>
  </si>
  <si>
    <t>Budget remaining</t>
  </si>
  <si>
    <t>REINVESTMENT TRACKING (BUY-BACK PRACTICES ONLY)</t>
  </si>
  <si>
    <t>Buy-Back Ref</t>
  </si>
  <si>
    <t>New Role Recruited</t>
  </si>
  <si>
    <t>Salary (£)</t>
  </si>
  <si>
    <t>Start Date</t>
  </si>
  <si>
    <t>Evidence</t>
  </si>
  <si>
    <t>PRACTICE NOTES &amp; ACTIONS</t>
  </si>
  <si>
    <t>Note / Action</t>
  </si>
  <si>
    <t>Owner</t>
  </si>
  <si>
    <t>Due Date</t>
  </si>
  <si>
    <t>Brackley MC — NRES SDA PRACTICE DASHBOARD</t>
  </si>
  <si>
    <t>Springfield Surgery — NRES SDA PRACTICE DASHBOARD</t>
  </si>
  <si>
    <t>Towcester MC — NRES SDA PRACTICE DASHBOARD</t>
  </si>
  <si>
    <t>TBC — New ACP Recruit</t>
  </si>
  <si>
    <t>28/01/2026</t>
  </si>
  <si>
    <t>✅ LIST SIZE CONFIRMED: 11,748 patients (Jan 2026, approved by all practices with Amanda). Chloe's figure was correct.</t>
  </si>
  <si>
    <t>Malcolm / Amanda</t>
  </si>
  <si>
    <t>Complete</t>
  </si>
  <si>
    <t>🚨 CRITICAL: Chloe reports current SDA provision at 110/wk (year), 120/wk (winter). Target is 179/wk non-winter, 214/wk winter. TOWCESTER IS CURRENTLY AT 62% OF TARGET. New staff needed to MEET TARGETS FIRST — this is New SDA provision, NOT buy-back. Chloe notes figures exclude triaging/unused/DNA — full data pending.</t>
  </si>
  <si>
    <t>Open</t>
  </si>
  <si>
    <t>Chloe proposes 12-session GP at £12K + ACP at £28.15/hr (24hrs/wk). Total cost £231,760 — virtually the entire recruitment budget with ~£234 remaining. No headroom for contingency. Maths checks out but budget is razor-thin.</t>
  </si>
  <si>
    <t>Chloe questions whether ACP appointments also need 50% F2F — needs clarification from ICB spec. Also mentions wanting to use financial model rather than appointment model for planning.</t>
  </si>
  <si>
    <t>Chloe mentions 14% overheads + 10% buffer = 24% (vs our 25% assumption). Minor difference. She's using 25% 'to be safe' which aligns with our model.</t>
  </si>
  <si>
    <t>Info</t>
  </si>
  <si>
    <t>Bugbrooke Surgery — NRES SDA PRACTICE DASHBOARD</t>
  </si>
  <si>
    <t>Brook Health Centre — NRES SDA PRACTICE DASHBOARD</t>
  </si>
  <si>
    <t>Denton Village Surgery — NRES SDA PRACTICE DASHBOARD</t>
  </si>
  <si>
    <t>Existing GP Capacity (Buy-Back)</t>
  </si>
  <si>
    <t>BB-001 (pending)</t>
  </si>
  <si>
    <t>Recruit 8-session GP at £11K-£12K DOE for proactive care (Part B)</t>
  </si>
  <si>
    <t>GP — 8 sessions</t>
  </si>
  <si>
    <t>Planned</t>
  </si>
  <si>
    <t>Nicola confirms current SDA provision: 204 GP appts/wk (no leave), 165 when GP on leave, 303 total with ANPs/Paramedic. Target is ~96/wk. STRONG buy-back case — delivering 2-3x minimum. Proposes 8-session GP at £11K-£12K DOE to free existing SDA for Part B.</t>
  </si>
  <si>
    <t>Nicola Draper</t>
  </si>
  <si>
    <t>In Progress</t>
  </si>
  <si>
    <t>Room availability: 5 sessions currently available, can create 3 more with planned changes = 8 total. Can offer 50% remote if needed.</t>
  </si>
  <si>
    <t>Buy-back proposal needs to go through Malcolm &amp; Amanda for equity check. Once approved as part of ICB Buy Back scheme, will do appointment modelling for Part B.</t>
  </si>
  <si>
    <t>DNA (DID NOT ATTEND) TRACKING — WEEKLY BY PRACTICE</t>
  </si>
  <si>
    <t>Enter weekly DNA counts per practice. DNA rate auto-calculates. Amber ≥5%, Red ≥10%. Feeds into compliance reporting.</t>
  </si>
  <si>
    <t>Parks DNAs</t>
  </si>
  <si>
    <t>Brackley DNAs</t>
  </si>
  <si>
    <t>Springfield DNAs</t>
  </si>
  <si>
    <t>Towcester DNAs</t>
  </si>
  <si>
    <t>Bugbrooke DNAs</t>
  </si>
  <si>
    <t>Brook DNAs</t>
  </si>
  <si>
    <t>Denton DNAs</t>
  </si>
  <si>
    <t>Total DNAs</t>
  </si>
  <si>
    <t>Total Offered</t>
  </si>
  <si>
    <t>DNA Rate</t>
  </si>
  <si>
    <t>DNA SUMMARY BY PRACTICE (CUMULATIVE YTD)</t>
  </si>
  <si>
    <t>Avg DNAs/Wk</t>
  </si>
  <si>
    <t>Est Wasted Cost (£)</t>
  </si>
  <si>
    <t>DNA RATE THRESHOLDS (CONFIGURABLE)</t>
  </si>
  <si>
    <t>Amber threshold</t>
  </si>
  <si>
    <t>Flag practices above this rate</t>
  </si>
  <si>
    <t>Red threshold</t>
  </si>
  <si>
    <t>Escalation required</t>
  </si>
  <si>
    <t>Est cost per DNA (£)</t>
  </si>
  <si>
    <t>Used for wasted cost calculation</t>
  </si>
  <si>
    <t>ABSENCE TRACKER — ANNUAL LEAVE / SICKNESS / PLT / STUDY LEAVE</t>
  </si>
  <si>
    <t>Record all staff absences. Sessions lost deduct from expected capacity. Feeds into compliance and trend reporting.</t>
  </si>
  <si>
    <t>ABSENCE LOG</t>
  </si>
  <si>
    <t>Session (AM/PM/Eve)</t>
  </si>
  <si>
    <t>Absence Type</t>
  </si>
  <si>
    <t>Appts Lost</t>
  </si>
  <si>
    <t>Cover Arranged?</t>
  </si>
  <si>
    <t>Cover By</t>
  </si>
  <si>
    <t>ABSENCE SUMMARY BY TYPE</t>
  </si>
  <si>
    <t>Count</t>
  </si>
  <si>
    <t>Sessions Lost</t>
  </si>
  <si>
    <t>Annual Leave</t>
  </si>
  <si>
    <t>Sickness</t>
  </si>
  <si>
    <t>PLT</t>
  </si>
  <si>
    <t>Study Leave</t>
  </si>
  <si>
    <t>Other</t>
  </si>
  <si>
    <t>ABSENCE SUMMARY BY PRACTICE</t>
  </si>
  <si>
    <t>Total Absences</t>
  </si>
  <si>
    <t>No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</si>
</sst>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£#,##0.00"/>
    <numFmt numFmtId="165" formatCode="#,##0.0"/>
    <numFmt numFmtId="166" formatCode="0.0%"/>
    <numFmt numFmtId="167" formatCode="\£#,##0"/>
    <numFmt numFmtId="168" formatCode="\£#,##0.00;[Red]&quot;-£&quot;#,##0.00"/>
    <numFmt numFmtId="169" formatCode="m/d/yyyy"/>
  </numFmts>
  <fonts count="2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color rgb="FF3B5998"/>
      <name val="Arial"/>
      <charset val="1"/>
    </font>
    <font>
      <b/>
      <sz val="10"/>
      <color rgb="FF2C3E6B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0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color rgb="FF2C3E6B"/>
      <name val="Arial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i/>
      <sz val="10"/>
      <color rgb="FF8E44AD"/>
      <name val="Arial"/>
      <charset val="1"/>
    </font>
    <font>
      <sz val="10"/>
      <color rgb="FF0000FF"/>
      <name val="Arial"/>
      <charset val="1"/>
    </font>
    <font>
      <i/>
      <sz val="10"/>
      <color rgb="FF008080"/>
      <name val="Arial"/>
      <charset val="1"/>
    </font>
    <font>
      <i/>
      <sz val="10"/>
      <color rgb="FFE74C3C"/>
      <name val="Arial"/>
      <charset val="1"/>
    </font>
    <font>
      <i/>
      <sz val="10"/>
      <color rgb="FFF39C12"/>
      <name val="Arial"/>
      <charset val="1"/>
    </font>
    <font>
      <i/>
      <sz val="10"/>
      <color rgb="FF7F8C8D"/>
      <name val="Arial"/>
      <charset val="1"/>
    </font>
    <font>
      <sz val="10"/>
      <name val="Arial"/>
      <family val="2"/>
    </font>
    <font>
      <i/>
      <sz val="10"/>
      <color rgb="FF95A5A6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EBF1F8"/>
        <bgColor rgb="FFF2F2F2"/>
      </patternFill>
    </fill>
    <fill>
      <patternFill patternType="solid">
        <fgColor rgb="FFD6E4F0"/>
        <bgColor rgb="FFE8E8E8"/>
      </patternFill>
    </fill>
    <fill>
      <patternFill patternType="solid">
        <fgColor rgb="FF3B5998"/>
        <bgColor rgb="FF2C3E6B"/>
      </patternFill>
    </fill>
    <fill>
      <patternFill patternType="solid">
        <fgColor rgb="FFFFFFCC"/>
        <bgColor rgb="FFFEF9E7"/>
      </patternFill>
    </fill>
    <fill>
      <patternFill patternType="solid">
        <fgColor rgb="FFCC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BF1F8"/>
      </patternFill>
    </fill>
    <fill>
      <patternFill patternType="solid">
        <fgColor rgb="FFF2F2F2"/>
        <bgColor rgb="FFEBF1F8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E8E8E8"/>
      </patternFill>
    </fill>
    <fill>
      <patternFill patternType="solid">
        <fgColor rgb="FFD1F2EB"/>
        <bgColor rgb="FFD5F5E3"/>
      </patternFill>
    </fill>
    <fill>
      <patternFill patternType="solid">
        <fgColor rgb="FFD5F5E3"/>
        <bgColor rgb="FFD1F2EB"/>
      </patternFill>
    </fill>
  </fills>
  <borders count="7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2" fillId="10" borderId="0" xfId="0" applyFont="1" applyFill="1" applyBorder="1"/>
    <xf numFmtId="0" fontId="20" fillId="0" borderId="0" xfId="0" applyFont="1" applyBorder="1"/>
    <xf numFmtId="0" fontId="19" fillId="11" borderId="0" xfId="0" applyFont="1" applyFill="1" applyBorder="1"/>
    <xf numFmtId="0" fontId="18" fillId="12" borderId="0" xfId="0" applyFont="1" applyFill="1" applyBorder="1"/>
    <xf numFmtId="0" fontId="17" fillId="14" borderId="0" xfId="0" applyFont="1" applyFill="1" applyBorder="1"/>
    <xf numFmtId="0" fontId="15" fillId="13" borderId="0" xfId="0" applyFont="1" applyFill="1" applyBorder="1"/>
    <xf numFmtId="0" fontId="14" fillId="9" borderId="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2" fillId="3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3" fontId="6" fillId="6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166" fontId="6" fillId="6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167" fontId="6" fillId="6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6" fontId="3" fillId="4" borderId="1" xfId="0" applyNumberFormat="1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7" fontId="6" fillId="6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67" fontId="7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0" fontId="12" fillId="0" borderId="0" xfId="0" applyFont="1"/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3" fontId="14" fillId="0" borderId="6" xfId="0" applyNumberFormat="1" applyFont="1" applyBorder="1" applyAlignment="1">
      <alignment horizontal="right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168" fontId="14" fillId="0" borderId="6" xfId="0" applyNumberFormat="1" applyFont="1" applyBorder="1" applyAlignment="1">
      <alignment horizontal="right" vertical="center"/>
    </xf>
    <xf numFmtId="3" fontId="7" fillId="10" borderId="1" xfId="0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3" fontId="5" fillId="11" borderId="1" xfId="0" applyNumberFormat="1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3" fontId="5" fillId="12" borderId="1" xfId="0" applyNumberFormat="1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167" fontId="7" fillId="10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3" fontId="16" fillId="6" borderId="1" xfId="0" applyNumberFormat="1" applyFont="1" applyFill="1" applyBorder="1" applyAlignment="1">
      <alignment vertical="center"/>
    </xf>
    <xf numFmtId="167" fontId="16" fillId="6" borderId="1" xfId="0" applyNumberFormat="1" applyFont="1" applyFill="1" applyBorder="1" applyAlignment="1">
      <alignment vertical="center"/>
    </xf>
    <xf numFmtId="166" fontId="16" fillId="6" borderId="1" xfId="0" applyNumberFormat="1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3" fontId="7" fillId="15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3" fontId="7" fillId="13" borderId="1" xfId="0" applyNumberFormat="1" applyFont="1" applyFill="1" applyBorder="1" applyAlignment="1">
      <alignment vertical="center"/>
    </xf>
    <xf numFmtId="169" fontId="7" fillId="0" borderId="1" xfId="0" applyNumberFormat="1" applyFont="1" applyBorder="1" applyAlignment="1">
      <alignment vertical="center"/>
    </xf>
    <xf numFmtId="169" fontId="7" fillId="10" borderId="1" xfId="0" applyNumberFormat="1" applyFont="1" applyFill="1" applyBorder="1" applyAlignment="1">
      <alignment vertical="center"/>
    </xf>
    <xf numFmtId="0" fontId="5" fillId="15" borderId="1" xfId="0" applyFont="1" applyFill="1" applyBorder="1" applyAlignment="1">
      <alignment vertical="center"/>
    </xf>
    <xf numFmtId="165" fontId="5" fillId="15" borderId="1" xfId="0" applyNumberFormat="1" applyFont="1" applyFill="1" applyBorder="1" applyAlignment="1">
      <alignment vertical="center"/>
    </xf>
    <xf numFmtId="165" fontId="7" fillId="15" borderId="1" xfId="0" applyNumberFormat="1" applyFont="1" applyFill="1" applyBorder="1" applyAlignment="1">
      <alignment vertical="center"/>
    </xf>
    <xf numFmtId="3" fontId="5" fillId="15" borderId="1" xfId="0" applyNumberFormat="1" applyFont="1" applyFill="1" applyBorder="1" applyAlignment="1">
      <alignment vertical="center"/>
    </xf>
    <xf numFmtId="3" fontId="7" fillId="12" borderId="1" xfId="0" applyNumberFormat="1" applyFont="1" applyFill="1" applyBorder="1" applyAlignment="1">
      <alignment vertical="center"/>
    </xf>
    <xf numFmtId="165" fontId="5" fillId="12" borderId="1" xfId="0" applyNumberFormat="1" applyFont="1" applyFill="1" applyBorder="1" applyAlignment="1">
      <alignment vertical="center"/>
    </xf>
    <xf numFmtId="165" fontId="7" fillId="12" borderId="1" xfId="0" applyNumberFormat="1" applyFont="1" applyFill="1" applyBorder="1" applyAlignment="1">
      <alignment vertical="center"/>
    </xf>
    <xf numFmtId="169" fontId="16" fillId="6" borderId="1" xfId="0" applyNumberFormat="1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169" fontId="7" fillId="6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167" fontId="7" fillId="6" borderId="1" xfId="0" applyNumberFormat="1" applyFont="1" applyFill="1" applyBorder="1" applyAlignment="1">
      <alignment vertical="center"/>
    </xf>
    <xf numFmtId="167" fontId="7" fillId="0" borderId="1" xfId="0" applyNumberFormat="1" applyFont="1" applyBorder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167" fontId="6" fillId="6" borderId="1" xfId="0" applyNumberFormat="1" applyFont="1" applyFill="1" applyBorder="1" applyAlignment="1">
      <alignment vertical="center"/>
    </xf>
    <xf numFmtId="14" fontId="16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8E44AD"/>
      <rgbColor rgb="FFFFFFCC"/>
      <rgbColor rgb="FFD1F2EB"/>
      <rgbColor rgb="FF660066"/>
      <rgbColor rgb="FFE74C3C"/>
      <rgbColor rgb="FF2980B9"/>
      <rgbColor rgb="FFD5D8DC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EBF1F8"/>
      <rgbColor rgb="FFD5F5E3"/>
      <rgbColor rgb="FFFEF9E7"/>
      <rgbColor rgb="FFD6E4F0"/>
      <rgbColor rgb="FFE8E8E8"/>
      <rgbColor rgb="FFF2F2F2"/>
      <rgbColor rgb="FFFADBD8"/>
      <rgbColor rgb="FF3B5998"/>
      <rgbColor rgb="FF1ABC9C"/>
      <rgbColor rgb="FF99CC00"/>
      <rgbColor rgb="FFFFCC00"/>
      <rgbColor rgb="FFF39C12"/>
      <rgbColor rgb="FFE67E22"/>
      <rgbColor rgb="FF666666"/>
      <rgbColor rgb="FF95A5A6"/>
      <rgbColor rgb="FF1B2A4A"/>
      <rgbColor rgb="FF27AE60"/>
      <rgbColor rgb="FF003300"/>
      <rgbColor rgb="FF333300"/>
      <rgbColor rgb="FFC0392B"/>
      <rgbColor rgb="FF993366"/>
      <rgbColor rgb="FF2C3E6B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F49"/>
  <sheetViews>
    <sheetView tabSelected="1" zoomScaleNormal="100" workbookViewId="0">
      <pane ySplit="3" topLeftCell="A30" activePane="bottomLeft" state="frozen"/>
      <selection pane="bottomLeft" activeCell="F46" sqref="F46"/>
    </sheetView>
  </sheetViews>
  <sheetFormatPr defaultColWidth="8.7109375" defaultRowHeight="15" x14ac:dyDescent="0.25"/>
  <cols>
    <col min="1" max="1" width="52.85546875" customWidth="1"/>
    <col min="2" max="2" width="18" customWidth="1"/>
    <col min="3" max="3" width="20" customWidth="1"/>
    <col min="4" max="4" width="30" customWidth="1"/>
    <col min="5" max="5" width="16" customWidth="1"/>
    <col min="6" max="6" width="24.28515625" customWidth="1"/>
  </cols>
  <sheetData>
    <row r="1" spans="1:6" ht="27.75" customHeight="1" x14ac:dyDescent="0.25">
      <c r="A1" s="11" t="s">
        <v>0</v>
      </c>
      <c r="B1" s="11"/>
      <c r="C1" s="11"/>
      <c r="D1" s="11"/>
      <c r="E1" s="11"/>
      <c r="F1" s="11"/>
    </row>
    <row r="2" spans="1:6" ht="18" customHeight="1" x14ac:dyDescent="0.25">
      <c r="A2" s="10" t="s">
        <v>1</v>
      </c>
      <c r="B2" s="10"/>
      <c r="C2" s="10"/>
      <c r="D2" s="10"/>
      <c r="E2" s="10"/>
      <c r="F2" s="10"/>
    </row>
    <row r="4" spans="1:6" ht="24" customHeight="1" x14ac:dyDescent="0.25">
      <c r="A4" s="9" t="s">
        <v>2</v>
      </c>
      <c r="B4" s="9"/>
      <c r="C4" s="9"/>
      <c r="D4" s="9"/>
      <c r="E4" s="9"/>
      <c r="F4" s="9"/>
    </row>
    <row r="5" spans="1:6" ht="30" customHeight="1" x14ac:dyDescent="0.25">
      <c r="A5" s="12" t="s">
        <v>3</v>
      </c>
      <c r="B5" s="12" t="s">
        <v>4</v>
      </c>
      <c r="C5" s="12" t="s">
        <v>5</v>
      </c>
      <c r="D5" s="12" t="s">
        <v>6</v>
      </c>
      <c r="E5" s="12"/>
      <c r="F5" s="12"/>
    </row>
    <row r="6" spans="1:6" ht="18" customHeight="1" x14ac:dyDescent="0.25">
      <c r="A6" s="13" t="s">
        <v>7</v>
      </c>
      <c r="B6" s="14">
        <v>26.33</v>
      </c>
      <c r="C6" s="15" t="s">
        <v>8</v>
      </c>
      <c r="D6" s="16" t="s">
        <v>9</v>
      </c>
    </row>
    <row r="7" spans="1:6" ht="18" customHeight="1" x14ac:dyDescent="0.25">
      <c r="A7" s="13" t="s">
        <v>10</v>
      </c>
      <c r="B7" s="17">
        <v>89584</v>
      </c>
      <c r="C7" s="15" t="s">
        <v>11</v>
      </c>
      <c r="D7" s="16" t="s">
        <v>12</v>
      </c>
    </row>
    <row r="8" spans="1:6" ht="18" customHeight="1" x14ac:dyDescent="0.25">
      <c r="A8" s="13" t="s">
        <v>13</v>
      </c>
      <c r="B8" s="18">
        <f>B6*B7</f>
        <v>2358746.7199999997</v>
      </c>
      <c r="C8" s="15" t="s">
        <v>14</v>
      </c>
      <c r="D8" s="16" t="s">
        <v>15</v>
      </c>
    </row>
    <row r="9" spans="1:6" ht="18" customHeight="1" x14ac:dyDescent="0.25">
      <c r="A9" s="13" t="s">
        <v>16</v>
      </c>
      <c r="B9" s="19" t="s">
        <v>17</v>
      </c>
      <c r="C9" s="15" t="s">
        <v>18</v>
      </c>
      <c r="D9" s="16" t="s">
        <v>19</v>
      </c>
    </row>
    <row r="10" spans="1:6" ht="18" customHeight="1" x14ac:dyDescent="0.25">
      <c r="A10" s="13" t="s">
        <v>20</v>
      </c>
      <c r="B10" s="17">
        <v>39</v>
      </c>
      <c r="C10" s="15" t="s">
        <v>21</v>
      </c>
      <c r="D10" s="16" t="s">
        <v>22</v>
      </c>
    </row>
    <row r="11" spans="1:6" ht="18" customHeight="1" x14ac:dyDescent="0.25">
      <c r="A11" s="13" t="s">
        <v>23</v>
      </c>
      <c r="B11" s="17">
        <v>13</v>
      </c>
      <c r="C11" s="15" t="s">
        <v>21</v>
      </c>
      <c r="D11" s="16" t="s">
        <v>24</v>
      </c>
    </row>
    <row r="12" spans="1:6" ht="18" customHeight="1" x14ac:dyDescent="0.25">
      <c r="A12" s="13" t="s">
        <v>25</v>
      </c>
      <c r="B12" s="13">
        <f>B10+B11</f>
        <v>52</v>
      </c>
      <c r="C12" s="15" t="s">
        <v>21</v>
      </c>
      <c r="D12" s="16"/>
    </row>
    <row r="13" spans="1:6" ht="18" customHeight="1" x14ac:dyDescent="0.25">
      <c r="A13" s="13" t="s">
        <v>26</v>
      </c>
      <c r="B13" s="20">
        <v>15.2</v>
      </c>
      <c r="C13" s="15" t="s">
        <v>27</v>
      </c>
      <c r="D13" s="16" t="s">
        <v>28</v>
      </c>
    </row>
    <row r="14" spans="1:6" ht="18" customHeight="1" x14ac:dyDescent="0.25">
      <c r="A14" s="13" t="s">
        <v>29</v>
      </c>
      <c r="B14" s="20">
        <v>18.2</v>
      </c>
      <c r="C14" s="15" t="s">
        <v>27</v>
      </c>
      <c r="D14" s="16" t="s">
        <v>28</v>
      </c>
    </row>
    <row r="15" spans="1:6" ht="18" customHeight="1" x14ac:dyDescent="0.25">
      <c r="A15" s="21" t="s">
        <v>30</v>
      </c>
      <c r="B15" s="22">
        <v>0.5</v>
      </c>
      <c r="C15" s="15" t="s">
        <v>31</v>
      </c>
      <c r="D15" s="23" t="s">
        <v>32</v>
      </c>
    </row>
    <row r="16" spans="1:6" ht="18" customHeight="1" x14ac:dyDescent="0.25">
      <c r="A16" s="13" t="s">
        <v>33</v>
      </c>
      <c r="B16" s="22">
        <v>0.25</v>
      </c>
      <c r="C16" s="15" t="s">
        <v>34</v>
      </c>
      <c r="D16" s="16" t="s">
        <v>35</v>
      </c>
    </row>
    <row r="17" spans="1:6" ht="18" customHeight="1" x14ac:dyDescent="0.25">
      <c r="A17" s="13" t="s">
        <v>36</v>
      </c>
      <c r="B17" s="24">
        <v>0.29380000000000001</v>
      </c>
      <c r="C17" s="15" t="s">
        <v>37</v>
      </c>
      <c r="D17" s="16" t="s">
        <v>38</v>
      </c>
    </row>
    <row r="18" spans="1:6" ht="18" customHeight="1" x14ac:dyDescent="0.25">
      <c r="A18" s="13" t="s">
        <v>39</v>
      </c>
      <c r="B18" s="17">
        <v>12</v>
      </c>
      <c r="C18" s="15" t="s">
        <v>40</v>
      </c>
      <c r="D18" s="16" t="s">
        <v>41</v>
      </c>
    </row>
    <row r="21" spans="1:6" ht="24" customHeight="1" x14ac:dyDescent="0.25">
      <c r="A21" s="9" t="s">
        <v>42</v>
      </c>
      <c r="B21" s="9"/>
      <c r="C21" s="9"/>
      <c r="D21" s="9"/>
      <c r="E21" s="9"/>
      <c r="F21" s="9"/>
    </row>
    <row r="22" spans="1:6" ht="30" customHeight="1" x14ac:dyDescent="0.25">
      <c r="A22" s="12" t="s">
        <v>43</v>
      </c>
      <c r="B22" s="12" t="s">
        <v>44</v>
      </c>
      <c r="C22" s="12" t="s">
        <v>45</v>
      </c>
      <c r="D22" s="12" t="s">
        <v>46</v>
      </c>
      <c r="E22" s="12" t="s">
        <v>47</v>
      </c>
      <c r="F22" s="12" t="s">
        <v>48</v>
      </c>
    </row>
    <row r="23" spans="1:6" ht="18" customHeight="1" x14ac:dyDescent="0.25">
      <c r="A23" s="13" t="s">
        <v>49</v>
      </c>
      <c r="B23" s="17">
        <v>12</v>
      </c>
      <c r="C23" s="17">
        <v>15</v>
      </c>
      <c r="D23" s="17">
        <v>12</v>
      </c>
      <c r="E23" s="17">
        <v>15</v>
      </c>
      <c r="F23" s="25">
        <v>11000</v>
      </c>
    </row>
    <row r="24" spans="1:6" ht="18" customHeight="1" x14ac:dyDescent="0.25">
      <c r="A24" s="13" t="s">
        <v>50</v>
      </c>
      <c r="B24" s="17">
        <v>12</v>
      </c>
      <c r="C24" s="17">
        <v>15</v>
      </c>
      <c r="D24" s="17">
        <v>12</v>
      </c>
      <c r="E24" s="17">
        <v>15</v>
      </c>
      <c r="F24" s="25"/>
    </row>
    <row r="25" spans="1:6" ht="18" customHeight="1" x14ac:dyDescent="0.25">
      <c r="A25" s="13" t="s">
        <v>51</v>
      </c>
      <c r="B25" s="17">
        <v>12</v>
      </c>
      <c r="C25" s="17">
        <v>15</v>
      </c>
      <c r="D25" s="17">
        <v>12</v>
      </c>
      <c r="E25" s="17">
        <v>15</v>
      </c>
      <c r="F25" s="25"/>
    </row>
    <row r="26" spans="1:6" x14ac:dyDescent="0.25">
      <c r="A26" s="16" t="s">
        <v>52</v>
      </c>
    </row>
    <row r="27" spans="1:6" ht="24" customHeight="1" x14ac:dyDescent="0.25">
      <c r="A27" s="9" t="s">
        <v>53</v>
      </c>
      <c r="B27" s="9"/>
      <c r="C27" s="9"/>
      <c r="D27" s="9"/>
      <c r="E27" s="9"/>
      <c r="F27" s="9"/>
    </row>
    <row r="28" spans="1:6" ht="30" customHeight="1" x14ac:dyDescent="0.25">
      <c r="A28" s="12" t="s">
        <v>54</v>
      </c>
      <c r="B28" s="12" t="s">
        <v>55</v>
      </c>
      <c r="C28" s="12" t="s">
        <v>56</v>
      </c>
      <c r="D28" s="12" t="s">
        <v>57</v>
      </c>
      <c r="E28" s="12" t="s">
        <v>58</v>
      </c>
      <c r="F28" s="12"/>
    </row>
    <row r="29" spans="1:6" ht="18" customHeight="1" x14ac:dyDescent="0.25">
      <c r="A29" s="13" t="s">
        <v>59</v>
      </c>
      <c r="B29" s="26">
        <v>22827</v>
      </c>
      <c r="C29" s="15" t="s">
        <v>60</v>
      </c>
      <c r="D29" s="15" t="s">
        <v>61</v>
      </c>
      <c r="E29" s="27">
        <f>B29/B36</f>
        <v>0.25481112698696196</v>
      </c>
    </row>
    <row r="30" spans="1:6" ht="18" customHeight="1" x14ac:dyDescent="0.25">
      <c r="A30" s="13" t="s">
        <v>62</v>
      </c>
      <c r="B30" s="26">
        <v>16212</v>
      </c>
      <c r="C30" s="15" t="s">
        <v>60</v>
      </c>
      <c r="D30" s="15" t="s">
        <v>61</v>
      </c>
      <c r="E30" s="27">
        <f>B30/B36</f>
        <v>0.18096981603857831</v>
      </c>
    </row>
    <row r="31" spans="1:6" ht="18" customHeight="1" x14ac:dyDescent="0.25">
      <c r="A31" s="13" t="s">
        <v>63</v>
      </c>
      <c r="B31" s="26">
        <v>12611</v>
      </c>
      <c r="C31" s="15" t="s">
        <v>64</v>
      </c>
      <c r="D31" s="15" t="s">
        <v>65</v>
      </c>
      <c r="E31" s="27">
        <f>B31/B36</f>
        <v>0.14077290587604929</v>
      </c>
    </row>
    <row r="32" spans="1:6" ht="18" customHeight="1" x14ac:dyDescent="0.25">
      <c r="A32" s="13" t="s">
        <v>66</v>
      </c>
      <c r="B32" s="26">
        <v>11748</v>
      </c>
      <c r="C32" s="15" t="s">
        <v>64</v>
      </c>
      <c r="D32" s="15" t="s">
        <v>65</v>
      </c>
      <c r="E32" s="27">
        <f>B32/B36</f>
        <v>0.13113948919449903</v>
      </c>
    </row>
    <row r="33" spans="1:6" ht="18" customHeight="1" x14ac:dyDescent="0.25">
      <c r="A33" s="13" t="s">
        <v>67</v>
      </c>
      <c r="B33" s="26">
        <v>10788</v>
      </c>
      <c r="C33" s="15" t="s">
        <v>64</v>
      </c>
      <c r="D33" s="15" t="s">
        <v>61</v>
      </c>
      <c r="E33" s="27">
        <f>B33/B36</f>
        <v>0.12042328987319165</v>
      </c>
    </row>
    <row r="34" spans="1:6" ht="18" customHeight="1" x14ac:dyDescent="0.25">
      <c r="A34" s="13" t="s">
        <v>68</v>
      </c>
      <c r="B34" s="26">
        <v>9069</v>
      </c>
      <c r="C34" s="15" t="s">
        <v>64</v>
      </c>
      <c r="D34" s="15" t="s">
        <v>61</v>
      </c>
      <c r="E34" s="27">
        <f>B34/B36</f>
        <v>0.10123459546347562</v>
      </c>
    </row>
    <row r="35" spans="1:6" ht="18" customHeight="1" x14ac:dyDescent="0.25">
      <c r="A35" s="13" t="s">
        <v>69</v>
      </c>
      <c r="B35" s="26">
        <v>6329</v>
      </c>
      <c r="C35" s="15" t="s">
        <v>64</v>
      </c>
      <c r="D35" s="15" t="s">
        <v>61</v>
      </c>
      <c r="E35" s="27">
        <f>B35/B36</f>
        <v>7.0648776567244151E-2</v>
      </c>
    </row>
    <row r="36" spans="1:6" ht="18" customHeight="1" x14ac:dyDescent="0.25">
      <c r="A36" s="28" t="s">
        <v>70</v>
      </c>
      <c r="B36" s="29">
        <f>SUM(B29:B35)</f>
        <v>89584</v>
      </c>
      <c r="C36" s="30"/>
      <c r="D36" s="30"/>
      <c r="E36" s="31">
        <f>SUM(E29:E35)</f>
        <v>0.99999999999999989</v>
      </c>
    </row>
    <row r="38" spans="1:6" ht="24" customHeight="1" x14ac:dyDescent="0.25">
      <c r="A38" s="8" t="s">
        <v>71</v>
      </c>
      <c r="B38" s="8"/>
      <c r="C38" s="8"/>
      <c r="D38" s="8"/>
      <c r="E38" s="8"/>
      <c r="F38" s="8"/>
    </row>
    <row r="39" spans="1:6" ht="30" customHeight="1" x14ac:dyDescent="0.25">
      <c r="A39" s="12" t="s">
        <v>72</v>
      </c>
      <c r="B39" s="12" t="s">
        <v>73</v>
      </c>
      <c r="C39" s="12" t="s">
        <v>74</v>
      </c>
      <c r="D39" s="12" t="s">
        <v>75</v>
      </c>
      <c r="E39" s="12" t="s">
        <v>76</v>
      </c>
      <c r="F39" s="12" t="s">
        <v>77</v>
      </c>
    </row>
    <row r="40" spans="1:6" ht="18" customHeight="1" x14ac:dyDescent="0.25">
      <c r="A40" s="32" t="s">
        <v>78</v>
      </c>
      <c r="B40" s="25"/>
      <c r="C40" s="17"/>
      <c r="D40" s="17"/>
      <c r="E40" s="33"/>
      <c r="F40" t="s">
        <v>79</v>
      </c>
    </row>
    <row r="41" spans="1:6" ht="18" customHeight="1" x14ac:dyDescent="0.25">
      <c r="A41" s="32" t="s">
        <v>80</v>
      </c>
      <c r="B41" s="25"/>
      <c r="C41" s="17"/>
      <c r="D41" s="17"/>
      <c r="E41" s="33"/>
      <c r="F41" t="s">
        <v>79</v>
      </c>
    </row>
    <row r="42" spans="1:6" ht="18" customHeight="1" x14ac:dyDescent="0.25">
      <c r="A42" s="21" t="s">
        <v>81</v>
      </c>
      <c r="B42" s="25"/>
      <c r="C42" s="17"/>
      <c r="D42" s="17"/>
      <c r="E42" s="33"/>
      <c r="F42" t="s">
        <v>82</v>
      </c>
    </row>
    <row r="43" spans="1:6" ht="18" customHeight="1" x14ac:dyDescent="0.25">
      <c r="A43" s="21" t="s">
        <v>83</v>
      </c>
      <c r="B43" s="25">
        <v>30</v>
      </c>
      <c r="C43" s="17">
        <v>8</v>
      </c>
      <c r="D43" s="17">
        <v>46</v>
      </c>
      <c r="E43" s="33">
        <f>B43*C43*D43*(1+B17)</f>
        <v>14283.552000000001</v>
      </c>
      <c r="F43" t="s">
        <v>84</v>
      </c>
    </row>
    <row r="44" spans="1:6" ht="18" customHeight="1" x14ac:dyDescent="0.25">
      <c r="A44" s="21" t="s">
        <v>85</v>
      </c>
      <c r="B44" s="25">
        <v>30</v>
      </c>
      <c r="C44" s="17">
        <v>6</v>
      </c>
      <c r="D44" s="17">
        <v>46</v>
      </c>
      <c r="E44" s="33">
        <f>B44*C44*D44</f>
        <v>8280</v>
      </c>
      <c r="F44" t="s">
        <v>86</v>
      </c>
    </row>
    <row r="45" spans="1:6" x14ac:dyDescent="0.25">
      <c r="A45" s="32" t="s">
        <v>87</v>
      </c>
      <c r="B45" s="34">
        <v>30</v>
      </c>
      <c r="C45" s="35">
        <v>4</v>
      </c>
      <c r="D45" s="35">
        <v>46</v>
      </c>
      <c r="E45" s="33">
        <f>B45*C45*D45</f>
        <v>5520</v>
      </c>
      <c r="F45" t="s">
        <v>88</v>
      </c>
    </row>
    <row r="46" spans="1:6" x14ac:dyDescent="0.25">
      <c r="A46" s="21" t="s">
        <v>89</v>
      </c>
      <c r="B46" s="25">
        <v>0</v>
      </c>
      <c r="C46" s="17">
        <v>2</v>
      </c>
      <c r="D46" s="17">
        <v>46</v>
      </c>
      <c r="E46" s="33">
        <f>B46*C46*D46*(1+B17)</f>
        <v>0</v>
      </c>
      <c r="F46" t="s">
        <v>473</v>
      </c>
    </row>
    <row r="47" spans="1:6" x14ac:dyDescent="0.25">
      <c r="A47" s="32" t="s">
        <v>90</v>
      </c>
      <c r="B47" s="25"/>
      <c r="C47" s="17"/>
      <c r="D47" s="17"/>
      <c r="E47" s="33"/>
      <c r="F47" t="s">
        <v>79</v>
      </c>
    </row>
    <row r="48" spans="1:6" x14ac:dyDescent="0.25">
      <c r="A48" s="32" t="s">
        <v>91</v>
      </c>
      <c r="B48" s="25"/>
      <c r="C48" s="17"/>
      <c r="D48" s="17"/>
      <c r="E48" s="33"/>
      <c r="F48" t="s">
        <v>92</v>
      </c>
    </row>
    <row r="49" spans="1:6" x14ac:dyDescent="0.25">
      <c r="A49" s="32" t="s">
        <v>93</v>
      </c>
      <c r="B49" s="25"/>
      <c r="C49" s="17"/>
      <c r="D49" s="17"/>
      <c r="E49" s="33"/>
      <c r="F49" t="s">
        <v>94</v>
      </c>
    </row>
  </sheetData>
  <mergeCells count="6">
    <mergeCell ref="A38:F38"/>
    <mergeCell ref="A1:F1"/>
    <mergeCell ref="A2:F2"/>
    <mergeCell ref="A4:F4"/>
    <mergeCell ref="A21:F21"/>
    <mergeCell ref="A27:F27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N44"/>
  <sheetViews>
    <sheetView zoomScaleNormal="100" workbookViewId="0">
      <pane xSplit="1" ySplit="3" topLeftCell="E4" activePane="bottomRight" state="frozen"/>
      <selection pane="topRight" activeCell="E1" sqref="E1"/>
      <selection pane="bottomLeft" activeCell="A4" sqref="A4"/>
      <selection pane="bottomRight" activeCell="A3" sqref="A3"/>
    </sheetView>
  </sheetViews>
  <sheetFormatPr defaultColWidth="8.7109375" defaultRowHeight="15" x14ac:dyDescent="0.25"/>
  <cols>
    <col min="1" max="1" width="24" customWidth="1"/>
    <col min="2" max="14" width="16" customWidth="1"/>
  </cols>
  <sheetData>
    <row r="1" spans="1:14" ht="27.75" customHeight="1" x14ac:dyDescent="0.25">
      <c r="A1" s="11" t="s">
        <v>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customHeight="1" x14ac:dyDescent="0.25">
      <c r="A2" s="10" t="s">
        <v>96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 x14ac:dyDescent="0.25">
      <c r="A3" s="12" t="s">
        <v>54</v>
      </c>
      <c r="B3" s="12" t="s">
        <v>55</v>
      </c>
      <c r="C3" s="12" t="s">
        <v>58</v>
      </c>
      <c r="D3" s="12" t="s">
        <v>97</v>
      </c>
      <c r="E3" s="12" t="s">
        <v>98</v>
      </c>
      <c r="F3" s="12" t="s">
        <v>99</v>
      </c>
      <c r="G3" s="12" t="s">
        <v>100</v>
      </c>
      <c r="H3" s="12" t="s">
        <v>101</v>
      </c>
      <c r="I3" s="12" t="s">
        <v>102</v>
      </c>
      <c r="J3" s="12" t="s">
        <v>103</v>
      </c>
      <c r="K3" s="12" t="s">
        <v>101</v>
      </c>
      <c r="L3" s="12" t="s">
        <v>102</v>
      </c>
      <c r="M3" s="12" t="s">
        <v>104</v>
      </c>
      <c r="N3" s="12" t="s">
        <v>56</v>
      </c>
    </row>
    <row r="4" spans="1:14" ht="18" customHeight="1" x14ac:dyDescent="0.25">
      <c r="A4" s="13" t="str">
        <f>Assumptions!A29</f>
        <v>The Parks MC</v>
      </c>
      <c r="B4" s="26">
        <v>22827</v>
      </c>
      <c r="C4" s="27">
        <f>B4/B11</f>
        <v>0.25481112698696196</v>
      </c>
      <c r="D4" s="36">
        <f>B4*Assumptions!B6</f>
        <v>601034.90999999992</v>
      </c>
      <c r="E4" s="36">
        <f>D4/Assumptions!B18</f>
        <v>50086.242499999993</v>
      </c>
      <c r="F4" s="36">
        <f>D4*(1-Assumptions!B16)</f>
        <v>450776.18249999994</v>
      </c>
      <c r="G4" s="37">
        <f>(B4/1000)*Assumptions!B13</f>
        <v>346.97039999999998</v>
      </c>
      <c r="H4" s="38">
        <f>G4*Assumptions!B15</f>
        <v>173.48519999999999</v>
      </c>
      <c r="I4" s="38">
        <f>G4*Assumptions!B15</f>
        <v>173.48519999999999</v>
      </c>
      <c r="J4" s="37">
        <f>(B4/1000)*Assumptions!B14</f>
        <v>415.45140000000004</v>
      </c>
      <c r="K4" s="38">
        <f>J4*Assumptions!B15</f>
        <v>207.72570000000002</v>
      </c>
      <c r="L4" s="38">
        <f>J4*Assumptions!B15</f>
        <v>207.72570000000002</v>
      </c>
      <c r="M4" s="26">
        <f>(G4*Assumptions!B10)+(J4*Assumptions!B11)</f>
        <v>18932.713799999998</v>
      </c>
      <c r="N4" s="15" t="str">
        <f>Assumptions!C29</f>
        <v>HUB</v>
      </c>
    </row>
    <row r="5" spans="1:14" ht="18" customHeight="1" x14ac:dyDescent="0.25">
      <c r="A5" s="13" t="str">
        <f>Assumptions!A30</f>
        <v>Brackley MC</v>
      </c>
      <c r="B5" s="26">
        <v>16212</v>
      </c>
      <c r="C5" s="27">
        <f>B5/B11</f>
        <v>0.18096981603857831</v>
      </c>
      <c r="D5" s="36">
        <f>B5*Assumptions!B6</f>
        <v>426861.95999999996</v>
      </c>
      <c r="E5" s="36">
        <f>D5/Assumptions!B18</f>
        <v>35571.829999999994</v>
      </c>
      <c r="F5" s="36">
        <f>D5*(1-Assumptions!B16)</f>
        <v>320146.46999999997</v>
      </c>
      <c r="G5" s="37">
        <f>(B5/1000)*Assumptions!B13</f>
        <v>246.42239999999998</v>
      </c>
      <c r="H5" s="38">
        <f>G5*Assumptions!B15</f>
        <v>123.21119999999999</v>
      </c>
      <c r="I5" s="38">
        <f>G5*Assumptions!B15</f>
        <v>123.21119999999999</v>
      </c>
      <c r="J5" s="37">
        <f>(B5/1000)*Assumptions!B14</f>
        <v>295.05840000000001</v>
      </c>
      <c r="K5" s="38">
        <f>J5*Assumptions!B15</f>
        <v>147.5292</v>
      </c>
      <c r="L5" s="38">
        <f>J5*Assumptions!B15</f>
        <v>147.5292</v>
      </c>
      <c r="M5" s="26">
        <f>(G5*Assumptions!B10)+(J5*Assumptions!B11)</f>
        <v>13446.2328</v>
      </c>
      <c r="N5" s="15" t="str">
        <f>Assumptions!C30</f>
        <v>HUB</v>
      </c>
    </row>
    <row r="6" spans="1:14" ht="18" customHeight="1" x14ac:dyDescent="0.25">
      <c r="A6" s="13" t="str">
        <f>Assumptions!A31</f>
        <v>Springfield Surgery</v>
      </c>
      <c r="B6" s="26">
        <v>12611</v>
      </c>
      <c r="C6" s="27">
        <f>B6/B11</f>
        <v>0.14077290587604929</v>
      </c>
      <c r="D6" s="36">
        <f>B6*Assumptions!B6</f>
        <v>332047.63</v>
      </c>
      <c r="E6" s="36">
        <f>D6/Assumptions!B18</f>
        <v>27670.635833333334</v>
      </c>
      <c r="F6" s="36">
        <f>D6*(1-Assumptions!B16)</f>
        <v>249035.7225</v>
      </c>
      <c r="G6" s="37">
        <f>(B6/1000)*Assumptions!B13</f>
        <v>191.68719999999999</v>
      </c>
      <c r="H6" s="38">
        <f>G6*Assumptions!B15</f>
        <v>95.843599999999995</v>
      </c>
      <c r="I6" s="38">
        <f>G6*Assumptions!B15</f>
        <v>95.843599999999995</v>
      </c>
      <c r="J6" s="37">
        <f>(B6/1000)*Assumptions!B14</f>
        <v>229.52020000000002</v>
      </c>
      <c r="K6" s="38">
        <f>J6*Assumptions!B15</f>
        <v>114.76010000000001</v>
      </c>
      <c r="L6" s="38">
        <f>J6*Assumptions!B15</f>
        <v>114.76010000000001</v>
      </c>
      <c r="M6" s="26">
        <f>(G6*Assumptions!B10)+(J6*Assumptions!B11)</f>
        <v>10459.563399999999</v>
      </c>
      <c r="N6" s="15" t="str">
        <f>Assumptions!C31</f>
        <v>SPOKE</v>
      </c>
    </row>
    <row r="7" spans="1:14" ht="18" customHeight="1" x14ac:dyDescent="0.25">
      <c r="A7" s="13" t="str">
        <f>Assumptions!A32</f>
        <v>Towcester MC</v>
      </c>
      <c r="B7" s="26">
        <v>11748</v>
      </c>
      <c r="C7" s="27">
        <f>B7/B11</f>
        <v>0.13113948919449903</v>
      </c>
      <c r="D7" s="36">
        <f>B7*Assumptions!B6</f>
        <v>309324.83999999997</v>
      </c>
      <c r="E7" s="36">
        <f>D7/Assumptions!B18</f>
        <v>25777.069999999996</v>
      </c>
      <c r="F7" s="36">
        <f>D7*(1-Assumptions!B16)</f>
        <v>231993.62999999998</v>
      </c>
      <c r="G7" s="37">
        <f>(B7/1000)*Assumptions!B13</f>
        <v>178.56959999999998</v>
      </c>
      <c r="H7" s="38">
        <f>G7*Assumptions!B15</f>
        <v>89.28479999999999</v>
      </c>
      <c r="I7" s="38">
        <f>G7*Assumptions!B15</f>
        <v>89.28479999999999</v>
      </c>
      <c r="J7" s="37">
        <f>(B7/1000)*Assumptions!B14</f>
        <v>213.81359999999998</v>
      </c>
      <c r="K7" s="38">
        <f>J7*Assumptions!B15</f>
        <v>106.90679999999999</v>
      </c>
      <c r="L7" s="38">
        <f>J7*Assumptions!B15</f>
        <v>106.90679999999999</v>
      </c>
      <c r="M7" s="26">
        <f>(G7*Assumptions!B10)+(J7*Assumptions!B11)</f>
        <v>9743.7911999999997</v>
      </c>
      <c r="N7" s="15" t="str">
        <f>Assumptions!C32</f>
        <v>SPOKE</v>
      </c>
    </row>
    <row r="8" spans="1:14" ht="18" customHeight="1" x14ac:dyDescent="0.25">
      <c r="A8" s="13" t="str">
        <f>Assumptions!A33</f>
        <v>Bugbrooke Surgery</v>
      </c>
      <c r="B8" s="26">
        <v>10788</v>
      </c>
      <c r="C8" s="27">
        <f>B8/B11</f>
        <v>0.12042328987319165</v>
      </c>
      <c r="D8" s="36">
        <f>B8*Assumptions!B6</f>
        <v>284048.03999999998</v>
      </c>
      <c r="E8" s="36">
        <f>D8/Assumptions!B18</f>
        <v>23670.67</v>
      </c>
      <c r="F8" s="36">
        <f>D8*(1-Assumptions!B16)</f>
        <v>213036.02999999997</v>
      </c>
      <c r="G8" s="37">
        <f>(B8/1000)*Assumptions!B13</f>
        <v>163.9776</v>
      </c>
      <c r="H8" s="38">
        <f>G8*Assumptions!B15</f>
        <v>81.988799999999998</v>
      </c>
      <c r="I8" s="38">
        <f>G8*Assumptions!B15</f>
        <v>81.988799999999998</v>
      </c>
      <c r="J8" s="37">
        <f>(B8/1000)*Assumptions!B14</f>
        <v>196.3416</v>
      </c>
      <c r="K8" s="38">
        <f>J8*Assumptions!B15</f>
        <v>98.1708</v>
      </c>
      <c r="L8" s="38">
        <f>J8*Assumptions!B15</f>
        <v>98.1708</v>
      </c>
      <c r="M8" s="26">
        <f>(G8*Assumptions!B10)+(J8*Assumptions!B11)</f>
        <v>8947.5671999999995</v>
      </c>
      <c r="N8" s="15" t="str">
        <f>Assumptions!C33</f>
        <v>SPOKE</v>
      </c>
    </row>
    <row r="9" spans="1:14" ht="18" customHeight="1" x14ac:dyDescent="0.25">
      <c r="A9" s="13" t="str">
        <f>Assumptions!A34</f>
        <v>Brook Health Centre</v>
      </c>
      <c r="B9" s="26">
        <v>9069</v>
      </c>
      <c r="C9" s="27">
        <f>B9/B11</f>
        <v>0.10123459546347562</v>
      </c>
      <c r="D9" s="36">
        <f>B9*Assumptions!B6</f>
        <v>238786.77</v>
      </c>
      <c r="E9" s="36">
        <f>D9/Assumptions!B18</f>
        <v>19898.897499999999</v>
      </c>
      <c r="F9" s="36">
        <f>D9*(1-Assumptions!B16)</f>
        <v>179090.07749999998</v>
      </c>
      <c r="G9" s="37">
        <f>(B9/1000)*Assumptions!B13</f>
        <v>137.84880000000001</v>
      </c>
      <c r="H9" s="38">
        <f>G9*Assumptions!B15</f>
        <v>68.924400000000006</v>
      </c>
      <c r="I9" s="38">
        <f>G9*Assumptions!B15</f>
        <v>68.924400000000006</v>
      </c>
      <c r="J9" s="37">
        <f>(B9/1000)*Assumptions!B14</f>
        <v>165.0558</v>
      </c>
      <c r="K9" s="38">
        <f>J9*Assumptions!B15</f>
        <v>82.527900000000002</v>
      </c>
      <c r="L9" s="38">
        <f>J9*Assumptions!B15</f>
        <v>82.527900000000002</v>
      </c>
      <c r="M9" s="26">
        <f>(G9*Assumptions!B10)+(J9*Assumptions!B11)</f>
        <v>7521.8286000000007</v>
      </c>
      <c r="N9" s="15" t="str">
        <f>Assumptions!C34</f>
        <v>SPOKE</v>
      </c>
    </row>
    <row r="10" spans="1:14" ht="18" customHeight="1" x14ac:dyDescent="0.25">
      <c r="A10" s="13" t="str">
        <f>Assumptions!A35</f>
        <v>Denton Village Surgery</v>
      </c>
      <c r="B10" s="26">
        <v>6329</v>
      </c>
      <c r="C10" s="27">
        <f>B10/B11</f>
        <v>7.0648776567244151E-2</v>
      </c>
      <c r="D10" s="36">
        <f>B10*Assumptions!B6</f>
        <v>166642.56999999998</v>
      </c>
      <c r="E10" s="36">
        <f>D10/Assumptions!B18</f>
        <v>13886.880833333331</v>
      </c>
      <c r="F10" s="36">
        <f>D10*(1-Assumptions!B16)</f>
        <v>124981.92749999999</v>
      </c>
      <c r="G10" s="37">
        <f>(B10/1000)*Assumptions!B13</f>
        <v>96.200799999999987</v>
      </c>
      <c r="H10" s="38">
        <f>G10*Assumptions!B15</f>
        <v>48.100399999999993</v>
      </c>
      <c r="I10" s="38">
        <f>G10*Assumptions!B15</f>
        <v>48.100399999999993</v>
      </c>
      <c r="J10" s="37">
        <f>(B10/1000)*Assumptions!B14</f>
        <v>115.1878</v>
      </c>
      <c r="K10" s="38">
        <f>J10*Assumptions!B15</f>
        <v>57.593899999999998</v>
      </c>
      <c r="L10" s="38">
        <f>J10*Assumptions!B15</f>
        <v>57.593899999999998</v>
      </c>
      <c r="M10" s="26">
        <f>(G10*Assumptions!B10)+(J10*Assumptions!B11)</f>
        <v>5249.2725999999993</v>
      </c>
      <c r="N10" s="15" t="str">
        <f>Assumptions!C35</f>
        <v>SPOKE</v>
      </c>
    </row>
    <row r="11" spans="1:14" ht="18" customHeight="1" x14ac:dyDescent="0.25">
      <c r="A11" s="28" t="s">
        <v>105</v>
      </c>
      <c r="B11" s="29">
        <f t="shared" ref="B11:M11" si="0">SUM(B4:B10)</f>
        <v>89584</v>
      </c>
      <c r="C11" s="31">
        <f t="shared" si="0"/>
        <v>0.99999999999999989</v>
      </c>
      <c r="D11" s="39">
        <f t="shared" si="0"/>
        <v>2358746.7199999997</v>
      </c>
      <c r="E11" s="39">
        <f t="shared" si="0"/>
        <v>196562.22666666663</v>
      </c>
      <c r="F11" s="39">
        <f t="shared" si="0"/>
        <v>1769060.0399999998</v>
      </c>
      <c r="G11" s="40">
        <f t="shared" si="0"/>
        <v>1361.6768</v>
      </c>
      <c r="H11" s="40">
        <f t="shared" si="0"/>
        <v>680.83839999999998</v>
      </c>
      <c r="I11" s="40">
        <f t="shared" si="0"/>
        <v>680.83839999999998</v>
      </c>
      <c r="J11" s="40">
        <f t="shared" si="0"/>
        <v>1630.4288000000001</v>
      </c>
      <c r="K11" s="40">
        <f t="shared" si="0"/>
        <v>815.21440000000007</v>
      </c>
      <c r="L11" s="40">
        <f t="shared" si="0"/>
        <v>815.21440000000007</v>
      </c>
      <c r="M11" s="29">
        <f t="shared" si="0"/>
        <v>74300.969599999982</v>
      </c>
      <c r="N11" s="30"/>
    </row>
    <row r="25" spans="1:5" ht="15" customHeight="1" x14ac:dyDescent="0.25">
      <c r="A25" s="41" t="s">
        <v>106</v>
      </c>
    </row>
    <row r="26" spans="1:5" ht="29.25" customHeight="1" x14ac:dyDescent="0.25">
      <c r="A26" s="42" t="s">
        <v>107</v>
      </c>
      <c r="B26" s="43" t="s">
        <v>108</v>
      </c>
      <c r="C26" s="43" t="s">
        <v>109</v>
      </c>
      <c r="D26" s="43" t="s">
        <v>110</v>
      </c>
      <c r="E26" s="43" t="s">
        <v>111</v>
      </c>
    </row>
    <row r="27" spans="1:5" ht="15" customHeight="1" x14ac:dyDescent="0.25">
      <c r="A27" s="44" t="s">
        <v>112</v>
      </c>
      <c r="B27" s="45" t="s">
        <v>63</v>
      </c>
      <c r="C27" s="46">
        <v>12649</v>
      </c>
      <c r="D27" s="47">
        <v>12611</v>
      </c>
      <c r="E27" s="48">
        <v>-38</v>
      </c>
    </row>
    <row r="28" spans="1:5" ht="15" customHeight="1" x14ac:dyDescent="0.25">
      <c r="A28" s="44" t="s">
        <v>113</v>
      </c>
      <c r="B28" s="45" t="s">
        <v>114</v>
      </c>
      <c r="C28" s="45"/>
      <c r="D28" s="45"/>
      <c r="E28" s="48">
        <v>0</v>
      </c>
    </row>
    <row r="29" spans="1:5" ht="15" customHeight="1" x14ac:dyDescent="0.25">
      <c r="A29" s="44" t="s">
        <v>113</v>
      </c>
      <c r="B29" s="45" t="s">
        <v>115</v>
      </c>
      <c r="C29" s="46">
        <v>11439</v>
      </c>
      <c r="D29" s="47">
        <v>11748</v>
      </c>
      <c r="E29" s="48">
        <v>309</v>
      </c>
    </row>
    <row r="30" spans="1:5" ht="15" customHeight="1" x14ac:dyDescent="0.25">
      <c r="A30" s="44" t="s">
        <v>116</v>
      </c>
      <c r="B30" s="45" t="s">
        <v>117</v>
      </c>
      <c r="C30" s="46">
        <v>16128</v>
      </c>
      <c r="D30" s="48">
        <v>16212</v>
      </c>
      <c r="E30" s="48">
        <v>84</v>
      </c>
    </row>
    <row r="31" spans="1:5" ht="15" customHeight="1" x14ac:dyDescent="0.25">
      <c r="A31" s="44" t="s">
        <v>118</v>
      </c>
      <c r="B31" s="45" t="s">
        <v>119</v>
      </c>
      <c r="C31" s="45"/>
      <c r="D31" s="45"/>
      <c r="E31" s="48">
        <v>0</v>
      </c>
    </row>
    <row r="32" spans="1:5" ht="15" customHeight="1" x14ac:dyDescent="0.25">
      <c r="A32" s="44" t="s">
        <v>118</v>
      </c>
      <c r="B32" s="45" t="s">
        <v>120</v>
      </c>
      <c r="C32" s="45"/>
      <c r="D32" s="45"/>
      <c r="E32" s="48">
        <v>0</v>
      </c>
    </row>
    <row r="33" spans="1:5" ht="15" customHeight="1" x14ac:dyDescent="0.25">
      <c r="A33" s="44" t="s">
        <v>118</v>
      </c>
      <c r="B33" s="45" t="s">
        <v>121</v>
      </c>
      <c r="C33" s="45"/>
      <c r="D33" s="45"/>
      <c r="E33" s="48">
        <v>0</v>
      </c>
    </row>
    <row r="34" spans="1:5" ht="15" customHeight="1" x14ac:dyDescent="0.25">
      <c r="A34" s="44" t="s">
        <v>118</v>
      </c>
      <c r="B34" s="45" t="s">
        <v>122</v>
      </c>
      <c r="C34" s="46">
        <v>22689</v>
      </c>
      <c r="D34" s="48">
        <v>22827</v>
      </c>
      <c r="E34" s="48">
        <v>138</v>
      </c>
    </row>
    <row r="35" spans="1:5" ht="15" customHeight="1" x14ac:dyDescent="0.25">
      <c r="A35" s="44" t="s">
        <v>123</v>
      </c>
      <c r="B35" s="45" t="s">
        <v>69</v>
      </c>
      <c r="C35" s="46">
        <v>6277</v>
      </c>
      <c r="D35" s="47">
        <v>6329</v>
      </c>
      <c r="E35" s="48">
        <v>52</v>
      </c>
    </row>
    <row r="36" spans="1:5" ht="15" customHeight="1" x14ac:dyDescent="0.25">
      <c r="A36" s="44" t="s">
        <v>124</v>
      </c>
      <c r="B36" s="45" t="s">
        <v>67</v>
      </c>
      <c r="C36" s="46">
        <v>10773</v>
      </c>
      <c r="D36" s="48">
        <v>10788</v>
      </c>
      <c r="E36" s="48">
        <v>15</v>
      </c>
    </row>
    <row r="37" spans="1:5" ht="15" customHeight="1" x14ac:dyDescent="0.25">
      <c r="A37" s="44" t="s">
        <v>125</v>
      </c>
      <c r="B37" s="45" t="s">
        <v>126</v>
      </c>
      <c r="C37" s="45"/>
      <c r="D37" s="45"/>
      <c r="E37" s="48">
        <v>0</v>
      </c>
    </row>
    <row r="38" spans="1:5" ht="15" customHeight="1" x14ac:dyDescent="0.25">
      <c r="A38" s="44" t="s">
        <v>125</v>
      </c>
      <c r="B38" s="45" t="s">
        <v>127</v>
      </c>
      <c r="C38" s="48">
        <v>8983</v>
      </c>
      <c r="D38" s="48">
        <v>9069</v>
      </c>
      <c r="E38" s="48">
        <v>86</v>
      </c>
    </row>
    <row r="39" spans="1:5" ht="15" customHeight="1" x14ac:dyDescent="0.25">
      <c r="A39" s="44" t="s">
        <v>128</v>
      </c>
      <c r="B39" s="45"/>
      <c r="C39" s="46">
        <v>88938</v>
      </c>
      <c r="D39" s="46">
        <v>89584</v>
      </c>
      <c r="E39" s="48">
        <v>646</v>
      </c>
    </row>
    <row r="40" spans="1:5" ht="15" customHeight="1" x14ac:dyDescent="0.25">
      <c r="A40" s="7"/>
      <c r="B40" s="7"/>
      <c r="C40" s="7"/>
      <c r="D40" s="7"/>
      <c r="E40" s="7"/>
    </row>
    <row r="41" spans="1:5" ht="15" customHeight="1" x14ac:dyDescent="0.25">
      <c r="A41" s="44" t="s">
        <v>129</v>
      </c>
      <c r="B41" s="45"/>
      <c r="C41" s="48">
        <v>1349</v>
      </c>
      <c r="D41" s="48">
        <v>1359</v>
      </c>
      <c r="E41" s="48">
        <v>10</v>
      </c>
    </row>
    <row r="42" spans="1:5" ht="15" customHeight="1" x14ac:dyDescent="0.25">
      <c r="A42" s="44" t="s">
        <v>130</v>
      </c>
      <c r="B42" s="45"/>
      <c r="C42" s="48">
        <v>1619</v>
      </c>
      <c r="D42" s="48">
        <v>1631</v>
      </c>
      <c r="E42" s="48">
        <v>12</v>
      </c>
    </row>
    <row r="43" spans="1:5" ht="15" customHeight="1" x14ac:dyDescent="0.25">
      <c r="A43" s="7"/>
      <c r="B43" s="7"/>
      <c r="C43" s="7"/>
      <c r="D43" s="7"/>
      <c r="E43" s="7"/>
    </row>
    <row r="44" spans="1:5" ht="15" customHeight="1" x14ac:dyDescent="0.25">
      <c r="A44" s="44" t="s">
        <v>131</v>
      </c>
      <c r="B44" s="45"/>
      <c r="C44" s="49">
        <v>2341737.54</v>
      </c>
      <c r="D44" s="49">
        <v>2358746.7200000002</v>
      </c>
      <c r="E44" s="49">
        <v>17009.18</v>
      </c>
    </row>
  </sheetData>
  <mergeCells count="4">
    <mergeCell ref="A1:N1"/>
    <mergeCell ref="A2:N2"/>
    <mergeCell ref="A40:E40"/>
    <mergeCell ref="A43:E43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I3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8" sqref="E18"/>
    </sheetView>
  </sheetViews>
  <sheetFormatPr defaultColWidth="8.7109375" defaultRowHeight="15" x14ac:dyDescent="0.25"/>
  <cols>
    <col min="1" max="1" width="24" customWidth="1"/>
    <col min="2" max="9" width="18" customWidth="1"/>
  </cols>
  <sheetData>
    <row r="1" spans="1:9" ht="27.75" customHeight="1" x14ac:dyDescent="0.25">
      <c r="A1" s="11" t="s">
        <v>132</v>
      </c>
      <c r="B1" s="11"/>
      <c r="C1" s="11"/>
      <c r="D1" s="11"/>
      <c r="E1" s="11"/>
      <c r="F1" s="11"/>
      <c r="G1" s="11"/>
      <c r="H1" s="11"/>
      <c r="I1" s="11"/>
    </row>
    <row r="2" spans="1:9" ht="18" customHeight="1" x14ac:dyDescent="0.25">
      <c r="A2" s="10" t="s">
        <v>133</v>
      </c>
      <c r="B2" s="10"/>
      <c r="C2" s="10"/>
      <c r="D2" s="10"/>
      <c r="E2" s="10"/>
      <c r="F2" s="10"/>
      <c r="G2" s="10"/>
      <c r="H2" s="10"/>
      <c r="I2" s="10"/>
    </row>
    <row r="3" spans="1:9" ht="30" customHeight="1" x14ac:dyDescent="0.25">
      <c r="A3" s="12" t="s">
        <v>134</v>
      </c>
      <c r="B3" s="12" t="s">
        <v>135</v>
      </c>
      <c r="C3" s="12" t="s">
        <v>136</v>
      </c>
      <c r="D3" s="12" t="s">
        <v>137</v>
      </c>
      <c r="E3" s="12" t="s">
        <v>138</v>
      </c>
      <c r="F3" s="12" t="s">
        <v>139</v>
      </c>
      <c r="G3" s="12" t="s">
        <v>140</v>
      </c>
      <c r="H3" s="12" t="s">
        <v>141</v>
      </c>
      <c r="I3" s="12" t="s">
        <v>142</v>
      </c>
    </row>
    <row r="4" spans="1:9" ht="18" customHeight="1" x14ac:dyDescent="0.25">
      <c r="A4" s="13" t="s">
        <v>143</v>
      </c>
      <c r="B4" s="17">
        <v>12</v>
      </c>
      <c r="C4" s="17">
        <v>12</v>
      </c>
      <c r="D4" s="17">
        <v>24</v>
      </c>
      <c r="E4" s="17">
        <v>12</v>
      </c>
      <c r="F4" s="17">
        <v>12</v>
      </c>
      <c r="G4" s="50">
        <v>0</v>
      </c>
      <c r="H4" s="17">
        <v>12</v>
      </c>
      <c r="I4" s="29">
        <f t="shared" ref="I4:I13" si="0">SUM(B4:H4)</f>
        <v>84</v>
      </c>
    </row>
    <row r="5" spans="1:9" ht="18" customHeight="1" x14ac:dyDescent="0.25">
      <c r="A5" s="13" t="s">
        <v>144</v>
      </c>
      <c r="B5" s="17">
        <v>36</v>
      </c>
      <c r="C5" s="17">
        <v>12</v>
      </c>
      <c r="D5" s="17">
        <v>24</v>
      </c>
      <c r="E5" s="17">
        <v>12</v>
      </c>
      <c r="F5" s="17">
        <v>12</v>
      </c>
      <c r="G5" s="50">
        <v>0</v>
      </c>
      <c r="H5" s="17">
        <v>36</v>
      </c>
      <c r="I5" s="29">
        <f t="shared" si="0"/>
        <v>132</v>
      </c>
    </row>
    <row r="6" spans="1:9" ht="18" customHeight="1" x14ac:dyDescent="0.25">
      <c r="A6" s="13" t="s">
        <v>145</v>
      </c>
      <c r="B6" s="17">
        <v>60</v>
      </c>
      <c r="C6" s="17">
        <v>12</v>
      </c>
      <c r="D6" s="17">
        <v>24</v>
      </c>
      <c r="E6" s="17">
        <v>12</v>
      </c>
      <c r="F6" s="17">
        <v>12</v>
      </c>
      <c r="G6" s="17">
        <v>12</v>
      </c>
      <c r="H6" s="50">
        <v>0</v>
      </c>
      <c r="I6" s="29">
        <f t="shared" si="0"/>
        <v>132</v>
      </c>
    </row>
    <row r="7" spans="1:9" ht="18" customHeight="1" x14ac:dyDescent="0.25">
      <c r="A7" s="13" t="s">
        <v>146</v>
      </c>
      <c r="B7" s="17">
        <v>72</v>
      </c>
      <c r="C7" s="17">
        <v>12</v>
      </c>
      <c r="D7" s="17">
        <v>24</v>
      </c>
      <c r="E7" s="17">
        <v>12</v>
      </c>
      <c r="F7" s="17">
        <v>12</v>
      </c>
      <c r="G7" s="17">
        <v>12</v>
      </c>
      <c r="H7" s="17">
        <v>24</v>
      </c>
      <c r="I7" s="29">
        <f t="shared" si="0"/>
        <v>168</v>
      </c>
    </row>
    <row r="8" spans="1:9" ht="18" customHeight="1" x14ac:dyDescent="0.25">
      <c r="A8" s="13" t="s">
        <v>147</v>
      </c>
      <c r="B8" s="50">
        <v>0</v>
      </c>
      <c r="C8" s="17">
        <v>12</v>
      </c>
      <c r="D8" s="17">
        <v>24</v>
      </c>
      <c r="E8" s="17">
        <v>12</v>
      </c>
      <c r="F8" s="17">
        <v>12</v>
      </c>
      <c r="G8" s="50">
        <v>0</v>
      </c>
      <c r="H8" s="17">
        <v>12</v>
      </c>
      <c r="I8" s="29">
        <f t="shared" si="0"/>
        <v>72</v>
      </c>
    </row>
    <row r="9" spans="1:9" ht="18" customHeight="1" x14ac:dyDescent="0.25">
      <c r="A9" s="13" t="s">
        <v>148</v>
      </c>
      <c r="B9" s="50">
        <v>0</v>
      </c>
      <c r="C9" s="17">
        <v>12</v>
      </c>
      <c r="D9" s="17">
        <v>24</v>
      </c>
      <c r="E9" s="17">
        <v>12</v>
      </c>
      <c r="F9" s="17">
        <v>12</v>
      </c>
      <c r="G9" s="50">
        <v>0</v>
      </c>
      <c r="H9" s="17">
        <v>48</v>
      </c>
      <c r="I9" s="29">
        <f t="shared" si="0"/>
        <v>108</v>
      </c>
    </row>
    <row r="10" spans="1:9" ht="18" customHeight="1" x14ac:dyDescent="0.25">
      <c r="A10" s="13" t="s">
        <v>149</v>
      </c>
      <c r="B10" s="17">
        <v>48</v>
      </c>
      <c r="C10" s="17">
        <v>12</v>
      </c>
      <c r="D10" s="17">
        <v>24</v>
      </c>
      <c r="E10" s="17">
        <v>12</v>
      </c>
      <c r="F10" s="17">
        <v>12</v>
      </c>
      <c r="G10" s="50">
        <v>0</v>
      </c>
      <c r="H10" s="50">
        <v>0</v>
      </c>
      <c r="I10" s="29">
        <f t="shared" si="0"/>
        <v>108</v>
      </c>
    </row>
    <row r="11" spans="1:9" ht="18" customHeight="1" x14ac:dyDescent="0.25">
      <c r="A11" s="13" t="s">
        <v>150</v>
      </c>
      <c r="B11" s="17">
        <v>48</v>
      </c>
      <c r="C11" s="17">
        <v>12</v>
      </c>
      <c r="D11" s="17">
        <v>24</v>
      </c>
      <c r="E11" s="17">
        <v>12</v>
      </c>
      <c r="F11" s="17">
        <v>12</v>
      </c>
      <c r="G11" s="17">
        <v>12</v>
      </c>
      <c r="H11" s="50">
        <v>0</v>
      </c>
      <c r="I11" s="29">
        <f t="shared" si="0"/>
        <v>120</v>
      </c>
    </row>
    <row r="12" spans="1:9" ht="18" customHeight="1" x14ac:dyDescent="0.25">
      <c r="A12" s="13" t="s">
        <v>151</v>
      </c>
      <c r="B12" s="17">
        <v>36</v>
      </c>
      <c r="C12" s="17">
        <v>12</v>
      </c>
      <c r="D12" s="17">
        <v>24</v>
      </c>
      <c r="E12" s="17">
        <v>12</v>
      </c>
      <c r="F12" s="17">
        <v>12</v>
      </c>
      <c r="G12" s="50">
        <v>0</v>
      </c>
      <c r="H12" s="17">
        <v>24</v>
      </c>
      <c r="I12" s="29">
        <f t="shared" si="0"/>
        <v>120</v>
      </c>
    </row>
    <row r="13" spans="1:9" ht="18" customHeight="1" x14ac:dyDescent="0.25">
      <c r="A13" s="13" t="s">
        <v>152</v>
      </c>
      <c r="B13" s="17">
        <v>36</v>
      </c>
      <c r="C13" s="17">
        <v>12</v>
      </c>
      <c r="D13" s="17">
        <v>24</v>
      </c>
      <c r="E13" s="17">
        <v>12</v>
      </c>
      <c r="F13" s="17">
        <v>12</v>
      </c>
      <c r="G13" s="50">
        <v>0</v>
      </c>
      <c r="H13" s="17">
        <v>48</v>
      </c>
      <c r="I13" s="29">
        <f t="shared" si="0"/>
        <v>144</v>
      </c>
    </row>
    <row r="14" spans="1:9" ht="18" customHeight="1" x14ac:dyDescent="0.25">
      <c r="A14" s="28" t="s">
        <v>153</v>
      </c>
      <c r="B14" s="29">
        <f t="shared" ref="B14:I14" si="1">SUM(B4:B13)</f>
        <v>348</v>
      </c>
      <c r="C14" s="29">
        <f t="shared" si="1"/>
        <v>120</v>
      </c>
      <c r="D14" s="29">
        <f t="shared" si="1"/>
        <v>240</v>
      </c>
      <c r="E14" s="29">
        <f t="shared" si="1"/>
        <v>120</v>
      </c>
      <c r="F14" s="29">
        <f t="shared" si="1"/>
        <v>120</v>
      </c>
      <c r="G14" s="29">
        <f t="shared" si="1"/>
        <v>36</v>
      </c>
      <c r="H14" s="29">
        <f t="shared" si="1"/>
        <v>204</v>
      </c>
      <c r="I14" s="29">
        <f t="shared" si="1"/>
        <v>1188</v>
      </c>
    </row>
    <row r="16" spans="1:9" ht="24" customHeight="1" x14ac:dyDescent="0.25">
      <c r="A16" s="9" t="s">
        <v>154</v>
      </c>
      <c r="B16" s="9"/>
      <c r="C16" s="9"/>
      <c r="D16" s="9"/>
      <c r="E16" s="9"/>
      <c r="F16" s="9"/>
      <c r="G16" s="9"/>
      <c r="H16" s="9"/>
      <c r="I16" s="9"/>
    </row>
    <row r="17" spans="1:9" ht="30" customHeight="1" x14ac:dyDescent="0.25">
      <c r="A17" s="12" t="s">
        <v>54</v>
      </c>
      <c r="B17" s="12" t="s">
        <v>155</v>
      </c>
      <c r="C17" s="12" t="s">
        <v>56</v>
      </c>
      <c r="D17" s="12" t="s">
        <v>57</v>
      </c>
      <c r="E17" s="12" t="s">
        <v>156</v>
      </c>
      <c r="F17" s="12" t="s">
        <v>157</v>
      </c>
      <c r="G17" s="12"/>
      <c r="H17" s="12"/>
      <c r="I17" s="12"/>
    </row>
    <row r="18" spans="1:9" ht="18" customHeight="1" x14ac:dyDescent="0.25">
      <c r="A18" s="13" t="s">
        <v>59</v>
      </c>
      <c r="B18" s="26">
        <f>B14</f>
        <v>348</v>
      </c>
      <c r="C18" s="15" t="s">
        <v>60</v>
      </c>
      <c r="D18" s="15" t="s">
        <v>61</v>
      </c>
    </row>
    <row r="19" spans="1:9" ht="18" customHeight="1" x14ac:dyDescent="0.25">
      <c r="A19" s="13" t="s">
        <v>136</v>
      </c>
      <c r="B19" s="26">
        <f>C14</f>
        <v>120</v>
      </c>
      <c r="C19" s="15" t="s">
        <v>60</v>
      </c>
      <c r="D19" s="15" t="s">
        <v>61</v>
      </c>
    </row>
    <row r="20" spans="1:9" ht="18" customHeight="1" x14ac:dyDescent="0.25">
      <c r="A20" s="13" t="s">
        <v>62</v>
      </c>
      <c r="B20" s="26">
        <f>D14</f>
        <v>240</v>
      </c>
      <c r="C20" s="15" t="s">
        <v>64</v>
      </c>
      <c r="D20" s="15" t="s">
        <v>65</v>
      </c>
    </row>
    <row r="21" spans="1:9" ht="18" customHeight="1" x14ac:dyDescent="0.25">
      <c r="A21" s="13" t="s">
        <v>158</v>
      </c>
      <c r="B21" s="26">
        <f>E14</f>
        <v>120</v>
      </c>
      <c r="C21" s="15" t="s">
        <v>64</v>
      </c>
      <c r="D21" s="15" t="s">
        <v>65</v>
      </c>
    </row>
    <row r="22" spans="1:9" ht="18" customHeight="1" x14ac:dyDescent="0.25">
      <c r="A22" s="13" t="s">
        <v>139</v>
      </c>
      <c r="B22" s="26">
        <f>F14</f>
        <v>120</v>
      </c>
      <c r="C22" s="15" t="s">
        <v>64</v>
      </c>
      <c r="D22" s="15" t="s">
        <v>61</v>
      </c>
    </row>
    <row r="23" spans="1:9" ht="18" customHeight="1" x14ac:dyDescent="0.25">
      <c r="A23" s="13" t="s">
        <v>159</v>
      </c>
      <c r="B23" s="26">
        <f>G14</f>
        <v>36</v>
      </c>
      <c r="C23" s="15" t="s">
        <v>64</v>
      </c>
      <c r="D23" s="15" t="s">
        <v>61</v>
      </c>
    </row>
    <row r="24" spans="1:9" ht="18" customHeight="1" x14ac:dyDescent="0.25">
      <c r="A24" s="13" t="s">
        <v>66</v>
      </c>
      <c r="B24" s="26">
        <f>H14</f>
        <v>204</v>
      </c>
      <c r="C24" s="15" t="s">
        <v>64</v>
      </c>
      <c r="D24" s="15" t="s">
        <v>61</v>
      </c>
    </row>
    <row r="26" spans="1:9" ht="24" customHeight="1" x14ac:dyDescent="0.25">
      <c r="A26" s="9" t="s">
        <v>160</v>
      </c>
      <c r="B26" s="9"/>
      <c r="C26" s="9"/>
      <c r="D26" s="9"/>
      <c r="E26" s="9"/>
      <c r="F26" s="9"/>
      <c r="G26" s="9"/>
      <c r="H26" s="9"/>
      <c r="I26" s="9"/>
    </row>
    <row r="27" spans="1:9" ht="18" customHeight="1" x14ac:dyDescent="0.25">
      <c r="A27" s="13" t="s">
        <v>161</v>
      </c>
      <c r="B27" s="26">
        <f>I14</f>
        <v>1188</v>
      </c>
    </row>
    <row r="28" spans="1:9" ht="18" customHeight="1" x14ac:dyDescent="0.25">
      <c r="A28" s="13" t="s">
        <v>162</v>
      </c>
      <c r="B28" s="38">
        <f>'Practice Allocations'!G11</f>
        <v>1361.6768</v>
      </c>
    </row>
    <row r="29" spans="1:9" ht="18" customHeight="1" x14ac:dyDescent="0.25">
      <c r="A29" s="13" t="s">
        <v>163</v>
      </c>
      <c r="B29" s="38">
        <f>'Practice Allocations'!J11</f>
        <v>1630.4288000000001</v>
      </c>
    </row>
    <row r="30" spans="1:9" ht="18" customHeight="1" x14ac:dyDescent="0.25">
      <c r="A30" s="51" t="s">
        <v>164</v>
      </c>
      <c r="B30" s="52">
        <f>MAX(0,B28-B27)</f>
        <v>173.67679999999996</v>
      </c>
    </row>
    <row r="31" spans="1:9" ht="18" customHeight="1" x14ac:dyDescent="0.25">
      <c r="A31" s="53" t="s">
        <v>165</v>
      </c>
      <c r="B31" s="54">
        <f>MAX(0,B29-B27)</f>
        <v>442.42880000000014</v>
      </c>
    </row>
  </sheetData>
  <mergeCells count="4">
    <mergeCell ref="A1:I1"/>
    <mergeCell ref="A2:I2"/>
    <mergeCell ref="A16:I16"/>
    <mergeCell ref="A26:I26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L1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8" customWidth="1"/>
    <col min="3" max="4" width="22" customWidth="1"/>
    <col min="5" max="8" width="18" customWidth="1"/>
    <col min="9" max="9" width="22" customWidth="1"/>
    <col min="10" max="10" width="18" customWidth="1"/>
    <col min="11" max="11" width="22" customWidth="1"/>
    <col min="12" max="12" width="18" customWidth="1"/>
  </cols>
  <sheetData>
    <row r="1" spans="1:12" ht="27.75" customHeight="1" x14ac:dyDescent="0.25">
      <c r="A1" s="11" t="s">
        <v>166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8" customHeight="1" x14ac:dyDescent="0.25">
      <c r="A2" s="13" t="s">
        <v>167</v>
      </c>
      <c r="B2" s="17">
        <v>1</v>
      </c>
      <c r="C2" s="13" t="s">
        <v>168</v>
      </c>
      <c r="D2" s="19" t="s">
        <v>169</v>
      </c>
      <c r="E2" s="13" t="s">
        <v>170</v>
      </c>
      <c r="F2" s="19" t="s">
        <v>171</v>
      </c>
    </row>
    <row r="4" spans="1:12" ht="30" customHeight="1" x14ac:dyDescent="0.25">
      <c r="A4" s="12" t="s">
        <v>172</v>
      </c>
      <c r="B4" s="12" t="s">
        <v>134</v>
      </c>
      <c r="C4" s="12" t="s">
        <v>54</v>
      </c>
      <c r="D4" s="12" t="s">
        <v>173</v>
      </c>
      <c r="E4" s="12" t="s">
        <v>43</v>
      </c>
      <c r="F4" s="12" t="s">
        <v>174</v>
      </c>
      <c r="G4" s="12" t="s">
        <v>175</v>
      </c>
      <c r="H4" s="12" t="s">
        <v>176</v>
      </c>
      <c r="I4" s="12" t="s">
        <v>177</v>
      </c>
      <c r="J4" s="12" t="s">
        <v>178</v>
      </c>
      <c r="K4" s="12" t="s">
        <v>179</v>
      </c>
      <c r="L4" s="12" t="s">
        <v>180</v>
      </c>
    </row>
    <row r="5" spans="1:12" ht="18" customHeight="1" x14ac:dyDescent="0.25">
      <c r="A5" s="15"/>
      <c r="B5" s="15"/>
      <c r="C5" s="15"/>
      <c r="D5" s="15"/>
      <c r="E5" s="15"/>
      <c r="F5" s="15"/>
      <c r="G5" s="26"/>
      <c r="H5" s="15"/>
      <c r="I5" s="15"/>
      <c r="J5" s="15"/>
      <c r="K5" s="15"/>
      <c r="L5" s="36"/>
    </row>
    <row r="6" spans="1:12" ht="18" customHeight="1" x14ac:dyDescent="0.25">
      <c r="A6" s="55"/>
      <c r="B6" s="55"/>
      <c r="C6" s="55"/>
      <c r="D6" s="55"/>
      <c r="E6" s="55"/>
      <c r="F6" s="55"/>
      <c r="G6" s="50"/>
      <c r="H6" s="55"/>
      <c r="I6" s="55"/>
      <c r="J6" s="55"/>
      <c r="K6" s="55"/>
      <c r="L6" s="56"/>
    </row>
    <row r="7" spans="1:12" ht="18" customHeight="1" x14ac:dyDescent="0.25">
      <c r="A7" s="15"/>
      <c r="B7" s="15"/>
      <c r="C7" s="15"/>
      <c r="D7" s="15"/>
      <c r="E7" s="15"/>
      <c r="F7" s="15"/>
      <c r="G7" s="26"/>
      <c r="H7" s="15"/>
      <c r="I7" s="15"/>
      <c r="J7" s="15"/>
      <c r="K7" s="15"/>
      <c r="L7" s="36"/>
    </row>
    <row r="8" spans="1:12" ht="18" customHeight="1" x14ac:dyDescent="0.25">
      <c r="A8" s="55"/>
      <c r="B8" s="55"/>
      <c r="C8" s="55"/>
      <c r="D8" s="55"/>
      <c r="E8" s="55"/>
      <c r="F8" s="55"/>
      <c r="G8" s="50"/>
      <c r="H8" s="55"/>
      <c r="I8" s="55"/>
      <c r="J8" s="55"/>
      <c r="K8" s="55"/>
      <c r="L8" s="56"/>
    </row>
    <row r="9" spans="1:12" ht="18" customHeight="1" x14ac:dyDescent="0.25">
      <c r="A9" s="15"/>
      <c r="B9" s="15"/>
      <c r="C9" s="15"/>
      <c r="D9" s="15"/>
      <c r="E9" s="15"/>
      <c r="F9" s="15"/>
      <c r="G9" s="26"/>
      <c r="H9" s="15"/>
      <c r="I9" s="15"/>
      <c r="J9" s="15"/>
      <c r="K9" s="15"/>
      <c r="L9" s="36"/>
    </row>
    <row r="10" spans="1:12" ht="18" customHeight="1" x14ac:dyDescent="0.25">
      <c r="A10" s="55"/>
      <c r="B10" s="55"/>
      <c r="C10" s="55"/>
      <c r="D10" s="55"/>
      <c r="E10" s="55"/>
      <c r="F10" s="55"/>
      <c r="G10" s="50"/>
      <c r="H10" s="55"/>
      <c r="I10" s="55"/>
      <c r="J10" s="55"/>
      <c r="K10" s="55"/>
      <c r="L10" s="56"/>
    </row>
    <row r="11" spans="1:12" ht="18" customHeight="1" x14ac:dyDescent="0.25">
      <c r="A11" s="15"/>
      <c r="B11" s="15"/>
      <c r="C11" s="15"/>
      <c r="D11" s="15"/>
      <c r="E11" s="15"/>
      <c r="F11" s="15"/>
      <c r="G11" s="26"/>
      <c r="H11" s="15"/>
      <c r="I11" s="15"/>
      <c r="J11" s="15"/>
      <c r="K11" s="15"/>
      <c r="L11" s="36"/>
    </row>
    <row r="12" spans="1:12" ht="18" customHeight="1" x14ac:dyDescent="0.25">
      <c r="A12" s="55"/>
      <c r="B12" s="55"/>
      <c r="C12" s="55"/>
      <c r="D12" s="55"/>
      <c r="E12" s="55"/>
      <c r="F12" s="55"/>
      <c r="G12" s="50"/>
      <c r="H12" s="55"/>
      <c r="I12" s="55"/>
      <c r="J12" s="55"/>
      <c r="K12" s="55"/>
      <c r="L12" s="56"/>
    </row>
    <row r="13" spans="1:12" ht="18" customHeight="1" x14ac:dyDescent="0.25">
      <c r="A13" s="15"/>
      <c r="B13" s="15"/>
      <c r="C13" s="15"/>
      <c r="D13" s="15"/>
      <c r="E13" s="15"/>
      <c r="F13" s="15"/>
      <c r="G13" s="26"/>
      <c r="H13" s="15"/>
      <c r="I13" s="15"/>
      <c r="J13" s="15"/>
      <c r="K13" s="15"/>
      <c r="L13" s="36"/>
    </row>
    <row r="14" spans="1:12" ht="18" customHeight="1" x14ac:dyDescent="0.25">
      <c r="A14" s="55"/>
      <c r="B14" s="55"/>
      <c r="C14" s="55"/>
      <c r="D14" s="55"/>
      <c r="E14" s="55"/>
      <c r="F14" s="55"/>
      <c r="G14" s="50"/>
      <c r="H14" s="55"/>
      <c r="I14" s="55"/>
      <c r="J14" s="55"/>
      <c r="K14" s="55"/>
      <c r="L14" s="56"/>
    </row>
    <row r="15" spans="1:12" ht="18" customHeight="1" x14ac:dyDescent="0.25">
      <c r="A15" s="15"/>
      <c r="B15" s="15"/>
      <c r="C15" s="15"/>
      <c r="D15" s="15"/>
      <c r="E15" s="15"/>
      <c r="F15" s="15"/>
      <c r="G15" s="26"/>
      <c r="H15" s="15"/>
      <c r="I15" s="15"/>
      <c r="J15" s="15"/>
      <c r="K15" s="15"/>
      <c r="L15" s="36"/>
    </row>
    <row r="16" spans="1:12" ht="18" customHeight="1" x14ac:dyDescent="0.25">
      <c r="A16" s="55"/>
      <c r="B16" s="55"/>
      <c r="C16" s="55"/>
      <c r="D16" s="55"/>
      <c r="E16" s="55"/>
      <c r="F16" s="55"/>
      <c r="G16" s="50"/>
      <c r="H16" s="55"/>
      <c r="I16" s="55"/>
      <c r="J16" s="55"/>
      <c r="K16" s="55"/>
      <c r="L16" s="56"/>
    </row>
    <row r="17" spans="1:12" ht="18" customHeight="1" x14ac:dyDescent="0.25">
      <c r="A17" s="15"/>
      <c r="B17" s="15"/>
      <c r="C17" s="15"/>
      <c r="D17" s="15"/>
      <c r="E17" s="15"/>
      <c r="F17" s="15"/>
      <c r="G17" s="26"/>
      <c r="H17" s="15"/>
      <c r="I17" s="15"/>
      <c r="J17" s="15"/>
      <c r="K17" s="15"/>
      <c r="L17" s="36"/>
    </row>
    <row r="18" spans="1:12" ht="18" customHeight="1" x14ac:dyDescent="0.25">
      <c r="A18" s="55"/>
      <c r="B18" s="55"/>
      <c r="C18" s="55"/>
      <c r="D18" s="55"/>
      <c r="E18" s="55"/>
      <c r="F18" s="55"/>
      <c r="G18" s="50"/>
      <c r="H18" s="55"/>
      <c r="I18" s="55"/>
      <c r="J18" s="55"/>
      <c r="K18" s="55"/>
      <c r="L18" s="56"/>
    </row>
    <row r="19" spans="1:12" ht="18" customHeight="1" x14ac:dyDescent="0.25">
      <c r="A19" s="15"/>
      <c r="B19" s="15"/>
      <c r="C19" s="15"/>
      <c r="D19" s="15"/>
      <c r="E19" s="15"/>
      <c r="F19" s="15"/>
      <c r="G19" s="26"/>
      <c r="H19" s="15"/>
      <c r="I19" s="15"/>
      <c r="J19" s="15"/>
      <c r="K19" s="15"/>
      <c r="L19" s="36"/>
    </row>
    <row r="20" spans="1:12" ht="18" customHeight="1" x14ac:dyDescent="0.25">
      <c r="A20" s="55"/>
      <c r="B20" s="55"/>
      <c r="C20" s="55"/>
      <c r="D20" s="55"/>
      <c r="E20" s="55"/>
      <c r="F20" s="55"/>
      <c r="G20" s="50"/>
      <c r="H20" s="55"/>
      <c r="I20" s="55"/>
      <c r="J20" s="55"/>
      <c r="K20" s="55"/>
      <c r="L20" s="56"/>
    </row>
    <row r="21" spans="1:12" ht="18" customHeight="1" x14ac:dyDescent="0.25">
      <c r="A21" s="15"/>
      <c r="B21" s="15"/>
      <c r="C21" s="15"/>
      <c r="D21" s="15"/>
      <c r="E21" s="15"/>
      <c r="F21" s="15"/>
      <c r="G21" s="26"/>
      <c r="H21" s="15"/>
      <c r="I21" s="15"/>
      <c r="J21" s="15"/>
      <c r="K21" s="15"/>
      <c r="L21" s="36"/>
    </row>
    <row r="22" spans="1:12" ht="18" customHeight="1" x14ac:dyDescent="0.25">
      <c r="A22" s="55"/>
      <c r="B22" s="55"/>
      <c r="C22" s="55"/>
      <c r="D22" s="55"/>
      <c r="E22" s="55"/>
      <c r="F22" s="55"/>
      <c r="G22" s="50"/>
      <c r="H22" s="55"/>
      <c r="I22" s="55"/>
      <c r="J22" s="55"/>
      <c r="K22" s="55"/>
      <c r="L22" s="56"/>
    </row>
    <row r="23" spans="1:12" ht="18" customHeight="1" x14ac:dyDescent="0.25">
      <c r="A23" s="15"/>
      <c r="B23" s="15"/>
      <c r="C23" s="15"/>
      <c r="D23" s="15"/>
      <c r="E23" s="15"/>
      <c r="F23" s="15"/>
      <c r="G23" s="26"/>
      <c r="H23" s="15"/>
      <c r="I23" s="15"/>
      <c r="J23" s="15"/>
      <c r="K23" s="15"/>
      <c r="L23" s="36"/>
    </row>
    <row r="24" spans="1:12" ht="18" customHeight="1" x14ac:dyDescent="0.25">
      <c r="A24" s="55"/>
      <c r="B24" s="55"/>
      <c r="C24" s="55"/>
      <c r="D24" s="55"/>
      <c r="E24" s="55"/>
      <c r="F24" s="55"/>
      <c r="G24" s="50"/>
      <c r="H24" s="55"/>
      <c r="I24" s="55"/>
      <c r="J24" s="55"/>
      <c r="K24" s="55"/>
      <c r="L24" s="56"/>
    </row>
    <row r="25" spans="1:12" ht="18" customHeight="1" x14ac:dyDescent="0.25">
      <c r="A25" s="15"/>
      <c r="B25" s="15"/>
      <c r="C25" s="15"/>
      <c r="D25" s="15"/>
      <c r="E25" s="15"/>
      <c r="F25" s="15"/>
      <c r="G25" s="26"/>
      <c r="H25" s="15"/>
      <c r="I25" s="15"/>
      <c r="J25" s="15"/>
      <c r="K25" s="15"/>
      <c r="L25" s="36"/>
    </row>
    <row r="26" spans="1:12" ht="18" customHeight="1" x14ac:dyDescent="0.25">
      <c r="A26" s="55"/>
      <c r="B26" s="55"/>
      <c r="C26" s="55"/>
      <c r="D26" s="55"/>
      <c r="E26" s="55"/>
      <c r="F26" s="55"/>
      <c r="G26" s="50"/>
      <c r="H26" s="55"/>
      <c r="I26" s="55"/>
      <c r="J26" s="55"/>
      <c r="K26" s="55"/>
      <c r="L26" s="56"/>
    </row>
    <row r="27" spans="1:12" ht="18" customHeight="1" x14ac:dyDescent="0.25">
      <c r="A27" s="15"/>
      <c r="B27" s="15"/>
      <c r="C27" s="15"/>
      <c r="D27" s="15"/>
      <c r="E27" s="15"/>
      <c r="F27" s="15"/>
      <c r="G27" s="26"/>
      <c r="H27" s="15"/>
      <c r="I27" s="15"/>
      <c r="J27" s="15"/>
      <c r="K27" s="15"/>
      <c r="L27" s="36"/>
    </row>
    <row r="28" spans="1:12" ht="18" customHeight="1" x14ac:dyDescent="0.25">
      <c r="A28" s="55"/>
      <c r="B28" s="55"/>
      <c r="C28" s="55"/>
      <c r="D28" s="55"/>
      <c r="E28" s="55"/>
      <c r="F28" s="55"/>
      <c r="G28" s="50"/>
      <c r="H28" s="55"/>
      <c r="I28" s="55"/>
      <c r="J28" s="55"/>
      <c r="K28" s="55"/>
      <c r="L28" s="56"/>
    </row>
    <row r="29" spans="1:12" ht="18" customHeight="1" x14ac:dyDescent="0.25">
      <c r="A29" s="15"/>
      <c r="B29" s="15"/>
      <c r="C29" s="15"/>
      <c r="D29" s="15"/>
      <c r="E29" s="15"/>
      <c r="F29" s="15"/>
      <c r="G29" s="26"/>
      <c r="H29" s="15"/>
      <c r="I29" s="15"/>
      <c r="J29" s="15"/>
      <c r="K29" s="15"/>
      <c r="L29" s="36"/>
    </row>
    <row r="30" spans="1:12" ht="18" customHeight="1" x14ac:dyDescent="0.25">
      <c r="A30" s="55"/>
      <c r="B30" s="55"/>
      <c r="C30" s="55"/>
      <c r="D30" s="55"/>
      <c r="E30" s="55"/>
      <c r="F30" s="55"/>
      <c r="G30" s="50"/>
      <c r="H30" s="55"/>
      <c r="I30" s="55"/>
      <c r="J30" s="55"/>
      <c r="K30" s="55"/>
      <c r="L30" s="56"/>
    </row>
    <row r="31" spans="1:12" ht="18" customHeight="1" x14ac:dyDescent="0.25">
      <c r="A31" s="15"/>
      <c r="B31" s="15"/>
      <c r="C31" s="15"/>
      <c r="D31" s="15"/>
      <c r="E31" s="15"/>
      <c r="F31" s="15"/>
      <c r="G31" s="26"/>
      <c r="H31" s="15"/>
      <c r="I31" s="15"/>
      <c r="J31" s="15"/>
      <c r="K31" s="15"/>
      <c r="L31" s="36"/>
    </row>
    <row r="32" spans="1:12" ht="18" customHeight="1" x14ac:dyDescent="0.25">
      <c r="A32" s="55"/>
      <c r="B32" s="55"/>
      <c r="C32" s="55"/>
      <c r="D32" s="55"/>
      <c r="E32" s="55"/>
      <c r="F32" s="55"/>
      <c r="G32" s="50"/>
      <c r="H32" s="55"/>
      <c r="I32" s="55"/>
      <c r="J32" s="55"/>
      <c r="K32" s="55"/>
      <c r="L32" s="56"/>
    </row>
    <row r="33" spans="1:12" ht="18" customHeight="1" x14ac:dyDescent="0.25">
      <c r="A33" s="15"/>
      <c r="B33" s="15"/>
      <c r="C33" s="15"/>
      <c r="D33" s="15"/>
      <c r="E33" s="15"/>
      <c r="F33" s="15"/>
      <c r="G33" s="26"/>
      <c r="H33" s="15"/>
      <c r="I33" s="15"/>
      <c r="J33" s="15"/>
      <c r="K33" s="15"/>
      <c r="L33" s="36"/>
    </row>
    <row r="34" spans="1:12" ht="18" customHeight="1" x14ac:dyDescent="0.25">
      <c r="A34" s="55"/>
      <c r="B34" s="55"/>
      <c r="C34" s="55"/>
      <c r="D34" s="55"/>
      <c r="E34" s="55"/>
      <c r="F34" s="55"/>
      <c r="G34" s="50"/>
      <c r="H34" s="55"/>
      <c r="I34" s="55"/>
      <c r="J34" s="55"/>
      <c r="K34" s="55"/>
      <c r="L34" s="56"/>
    </row>
    <row r="35" spans="1:12" ht="18" customHeight="1" x14ac:dyDescent="0.25">
      <c r="A35" s="15"/>
      <c r="B35" s="15"/>
      <c r="C35" s="15"/>
      <c r="D35" s="15"/>
      <c r="E35" s="15"/>
      <c r="F35" s="15"/>
      <c r="G35" s="26"/>
      <c r="H35" s="15"/>
      <c r="I35" s="15"/>
      <c r="J35" s="15"/>
      <c r="K35" s="15"/>
      <c r="L35" s="36"/>
    </row>
    <row r="36" spans="1:12" ht="18" customHeight="1" x14ac:dyDescent="0.25">
      <c r="A36" s="55"/>
      <c r="B36" s="55"/>
      <c r="C36" s="55"/>
      <c r="D36" s="55"/>
      <c r="E36" s="55"/>
      <c r="F36" s="55"/>
      <c r="G36" s="50"/>
      <c r="H36" s="55"/>
      <c r="I36" s="55"/>
      <c r="J36" s="55"/>
      <c r="K36" s="55"/>
      <c r="L36" s="56"/>
    </row>
    <row r="37" spans="1:12" ht="18" customHeight="1" x14ac:dyDescent="0.25">
      <c r="A37" s="15"/>
      <c r="B37" s="15"/>
      <c r="C37" s="15"/>
      <c r="D37" s="15"/>
      <c r="E37" s="15"/>
      <c r="F37" s="15"/>
      <c r="G37" s="26"/>
      <c r="H37" s="15"/>
      <c r="I37" s="15"/>
      <c r="J37" s="15"/>
      <c r="K37" s="15"/>
      <c r="L37" s="36"/>
    </row>
    <row r="38" spans="1:12" ht="18" customHeight="1" x14ac:dyDescent="0.25">
      <c r="A38" s="55"/>
      <c r="B38" s="55"/>
      <c r="C38" s="55"/>
      <c r="D38" s="55"/>
      <c r="E38" s="55"/>
      <c r="F38" s="55"/>
      <c r="G38" s="50"/>
      <c r="H38" s="55"/>
      <c r="I38" s="55"/>
      <c r="J38" s="55"/>
      <c r="K38" s="55"/>
      <c r="L38" s="56"/>
    </row>
    <row r="39" spans="1:12" ht="18" customHeight="1" x14ac:dyDescent="0.25">
      <c r="A39" s="15"/>
      <c r="B39" s="15"/>
      <c r="C39" s="15"/>
      <c r="D39" s="15"/>
      <c r="E39" s="15"/>
      <c r="F39" s="15"/>
      <c r="G39" s="26"/>
      <c r="H39" s="15"/>
      <c r="I39" s="15"/>
      <c r="J39" s="15"/>
      <c r="K39" s="15"/>
      <c r="L39" s="36"/>
    </row>
    <row r="40" spans="1:12" ht="18" customHeight="1" x14ac:dyDescent="0.25">
      <c r="A40" s="55"/>
      <c r="B40" s="55"/>
      <c r="C40" s="55"/>
      <c r="D40" s="55"/>
      <c r="E40" s="55"/>
      <c r="F40" s="55"/>
      <c r="G40" s="50"/>
      <c r="H40" s="55"/>
      <c r="I40" s="55"/>
      <c r="J40" s="55"/>
      <c r="K40" s="55"/>
      <c r="L40" s="56"/>
    </row>
    <row r="41" spans="1:12" ht="18" customHeight="1" x14ac:dyDescent="0.25">
      <c r="A41" s="15"/>
      <c r="B41" s="15"/>
      <c r="C41" s="15"/>
      <c r="D41" s="15"/>
      <c r="E41" s="15"/>
      <c r="F41" s="15"/>
      <c r="G41" s="26"/>
      <c r="H41" s="15"/>
      <c r="I41" s="15"/>
      <c r="J41" s="15"/>
      <c r="K41" s="15"/>
      <c r="L41" s="36"/>
    </row>
    <row r="42" spans="1:12" ht="18" customHeight="1" x14ac:dyDescent="0.25">
      <c r="A42" s="55"/>
      <c r="B42" s="55"/>
      <c r="C42" s="55"/>
      <c r="D42" s="55"/>
      <c r="E42" s="55"/>
      <c r="F42" s="55"/>
      <c r="G42" s="50"/>
      <c r="H42" s="55"/>
      <c r="I42" s="55"/>
      <c r="J42" s="55"/>
      <c r="K42" s="55"/>
      <c r="L42" s="56"/>
    </row>
    <row r="43" spans="1:12" ht="18" customHeight="1" x14ac:dyDescent="0.25">
      <c r="A43" s="15"/>
      <c r="B43" s="15"/>
      <c r="C43" s="15"/>
      <c r="D43" s="15"/>
      <c r="E43" s="15"/>
      <c r="F43" s="15"/>
      <c r="G43" s="26"/>
      <c r="H43" s="15"/>
      <c r="I43" s="15"/>
      <c r="J43" s="15"/>
      <c r="K43" s="15"/>
      <c r="L43" s="36"/>
    </row>
    <row r="44" spans="1:12" ht="18" customHeight="1" x14ac:dyDescent="0.25">
      <c r="A44" s="55"/>
      <c r="B44" s="55"/>
      <c r="C44" s="55"/>
      <c r="D44" s="55"/>
      <c r="E44" s="55"/>
      <c r="F44" s="55"/>
      <c r="G44" s="50"/>
      <c r="H44" s="55"/>
      <c r="I44" s="55"/>
      <c r="J44" s="55"/>
      <c r="K44" s="55"/>
      <c r="L44" s="56"/>
    </row>
    <row r="45" spans="1:12" ht="18" customHeight="1" x14ac:dyDescent="0.25">
      <c r="A45" s="15"/>
      <c r="B45" s="15"/>
      <c r="C45" s="15"/>
      <c r="D45" s="15"/>
      <c r="E45" s="15"/>
      <c r="F45" s="15"/>
      <c r="G45" s="26"/>
      <c r="H45" s="15"/>
      <c r="I45" s="15"/>
      <c r="J45" s="15"/>
      <c r="K45" s="15"/>
      <c r="L45" s="36"/>
    </row>
    <row r="46" spans="1:12" ht="18" customHeight="1" x14ac:dyDescent="0.25">
      <c r="A46" s="55"/>
      <c r="B46" s="55"/>
      <c r="C46" s="55"/>
      <c r="D46" s="55"/>
      <c r="E46" s="55"/>
      <c r="F46" s="55"/>
      <c r="G46" s="50"/>
      <c r="H46" s="55"/>
      <c r="I46" s="55"/>
      <c r="J46" s="55"/>
      <c r="K46" s="55"/>
      <c r="L46" s="56"/>
    </row>
    <row r="47" spans="1:12" ht="18" customHeight="1" x14ac:dyDescent="0.25">
      <c r="A47" s="15"/>
      <c r="B47" s="15"/>
      <c r="C47" s="15"/>
      <c r="D47" s="15"/>
      <c r="E47" s="15"/>
      <c r="F47" s="15"/>
      <c r="G47" s="26"/>
      <c r="H47" s="15"/>
      <c r="I47" s="15"/>
      <c r="J47" s="15"/>
      <c r="K47" s="15"/>
      <c r="L47" s="36"/>
    </row>
    <row r="48" spans="1:12" ht="18" customHeight="1" x14ac:dyDescent="0.25">
      <c r="A48" s="55"/>
      <c r="B48" s="55"/>
      <c r="C48" s="55"/>
      <c r="D48" s="55"/>
      <c r="E48" s="55"/>
      <c r="F48" s="55"/>
      <c r="G48" s="50"/>
      <c r="H48" s="55"/>
      <c r="I48" s="55"/>
      <c r="J48" s="55"/>
      <c r="K48" s="55"/>
      <c r="L48" s="56"/>
    </row>
    <row r="49" spans="1:12" ht="18" customHeight="1" x14ac:dyDescent="0.25">
      <c r="A49" s="15"/>
      <c r="B49" s="15"/>
      <c r="C49" s="15"/>
      <c r="D49" s="15"/>
      <c r="E49" s="15"/>
      <c r="F49" s="15"/>
      <c r="G49" s="26"/>
      <c r="H49" s="15"/>
      <c r="I49" s="15"/>
      <c r="J49" s="15"/>
      <c r="K49" s="15"/>
      <c r="L49" s="36"/>
    </row>
    <row r="50" spans="1:12" ht="18" customHeight="1" x14ac:dyDescent="0.25">
      <c r="A50" s="55"/>
      <c r="B50" s="55"/>
      <c r="C50" s="55"/>
      <c r="D50" s="55"/>
      <c r="E50" s="55"/>
      <c r="F50" s="55"/>
      <c r="G50" s="50"/>
      <c r="H50" s="55"/>
      <c r="I50" s="55"/>
      <c r="J50" s="55"/>
      <c r="K50" s="55"/>
      <c r="L50" s="56"/>
    </row>
    <row r="51" spans="1:12" ht="18" customHeight="1" x14ac:dyDescent="0.25">
      <c r="A51" s="15"/>
      <c r="B51" s="15"/>
      <c r="C51" s="15"/>
      <c r="D51" s="15"/>
      <c r="E51" s="15"/>
      <c r="F51" s="15"/>
      <c r="G51" s="26"/>
      <c r="H51" s="15"/>
      <c r="I51" s="15"/>
      <c r="J51" s="15"/>
      <c r="K51" s="15"/>
      <c r="L51" s="36"/>
    </row>
    <row r="52" spans="1:12" ht="18" customHeight="1" x14ac:dyDescent="0.25">
      <c r="A52" s="55"/>
      <c r="B52" s="55"/>
      <c r="C52" s="55"/>
      <c r="D52" s="55"/>
      <c r="E52" s="55"/>
      <c r="F52" s="55"/>
      <c r="G52" s="50"/>
      <c r="H52" s="55"/>
      <c r="I52" s="55"/>
      <c r="J52" s="55"/>
      <c r="K52" s="55"/>
      <c r="L52" s="56"/>
    </row>
    <row r="53" spans="1:12" ht="18" customHeight="1" x14ac:dyDescent="0.25">
      <c r="A53" s="15"/>
      <c r="B53" s="15"/>
      <c r="C53" s="15"/>
      <c r="D53" s="15"/>
      <c r="E53" s="15"/>
      <c r="F53" s="15"/>
      <c r="G53" s="26"/>
      <c r="H53" s="15"/>
      <c r="I53" s="15"/>
      <c r="J53" s="15"/>
      <c r="K53" s="15"/>
      <c r="L53" s="36"/>
    </row>
    <row r="54" spans="1:12" ht="18" customHeight="1" x14ac:dyDescent="0.25">
      <c r="A54" s="55"/>
      <c r="B54" s="55"/>
      <c r="C54" s="55"/>
      <c r="D54" s="55"/>
      <c r="E54" s="55"/>
      <c r="F54" s="55"/>
      <c r="G54" s="50"/>
      <c r="H54" s="55"/>
      <c r="I54" s="55"/>
      <c r="J54" s="55"/>
      <c r="K54" s="55"/>
      <c r="L54" s="56"/>
    </row>
    <row r="55" spans="1:12" ht="18" customHeight="1" x14ac:dyDescent="0.25">
      <c r="A55" s="15"/>
      <c r="B55" s="15"/>
      <c r="C55" s="15"/>
      <c r="D55" s="15"/>
      <c r="E55" s="15"/>
      <c r="F55" s="15"/>
      <c r="G55" s="26"/>
      <c r="H55" s="15"/>
      <c r="I55" s="15"/>
      <c r="J55" s="15"/>
      <c r="K55" s="15"/>
      <c r="L55" s="36"/>
    </row>
    <row r="56" spans="1:12" ht="18" customHeight="1" x14ac:dyDescent="0.25">
      <c r="A56" s="55"/>
      <c r="B56" s="55"/>
      <c r="C56" s="55"/>
      <c r="D56" s="55"/>
      <c r="E56" s="55"/>
      <c r="F56" s="55"/>
      <c r="G56" s="50"/>
      <c r="H56" s="55"/>
      <c r="I56" s="55"/>
      <c r="J56" s="55"/>
      <c r="K56" s="55"/>
      <c r="L56" s="56"/>
    </row>
    <row r="57" spans="1:12" ht="18" customHeight="1" x14ac:dyDescent="0.25">
      <c r="A57" s="15"/>
      <c r="B57" s="15"/>
      <c r="C57" s="15"/>
      <c r="D57" s="15"/>
      <c r="E57" s="15"/>
      <c r="F57" s="15"/>
      <c r="G57" s="26"/>
      <c r="H57" s="15"/>
      <c r="I57" s="15"/>
      <c r="J57" s="15"/>
      <c r="K57" s="15"/>
      <c r="L57" s="36"/>
    </row>
    <row r="58" spans="1:12" ht="18" customHeight="1" x14ac:dyDescent="0.25">
      <c r="A58" s="55"/>
      <c r="B58" s="55"/>
      <c r="C58" s="55"/>
      <c r="D58" s="55"/>
      <c r="E58" s="55"/>
      <c r="F58" s="55"/>
      <c r="G58" s="50"/>
      <c r="H58" s="55"/>
      <c r="I58" s="55"/>
      <c r="J58" s="55"/>
      <c r="K58" s="55"/>
      <c r="L58" s="56"/>
    </row>
    <row r="59" spans="1:12" ht="18" customHeight="1" x14ac:dyDescent="0.25">
      <c r="A59" s="15"/>
      <c r="B59" s="15"/>
      <c r="C59" s="15"/>
      <c r="D59" s="15"/>
      <c r="E59" s="15"/>
      <c r="F59" s="15"/>
      <c r="G59" s="26"/>
      <c r="H59" s="15"/>
      <c r="I59" s="15"/>
      <c r="J59" s="15"/>
      <c r="K59" s="15"/>
      <c r="L59" s="36"/>
    </row>
    <row r="60" spans="1:12" ht="18" customHeight="1" x14ac:dyDescent="0.25">
      <c r="A60" s="55"/>
      <c r="B60" s="55"/>
      <c r="C60" s="55"/>
      <c r="D60" s="55"/>
      <c r="E60" s="55"/>
      <c r="F60" s="55"/>
      <c r="G60" s="50"/>
      <c r="H60" s="55"/>
      <c r="I60" s="55"/>
      <c r="J60" s="55"/>
      <c r="K60" s="55"/>
      <c r="L60" s="56"/>
    </row>
    <row r="61" spans="1:12" ht="18" customHeight="1" x14ac:dyDescent="0.25">
      <c r="A61" s="15"/>
      <c r="B61" s="15"/>
      <c r="C61" s="15"/>
      <c r="D61" s="15"/>
      <c r="E61" s="15"/>
      <c r="F61" s="15"/>
      <c r="G61" s="26"/>
      <c r="H61" s="15"/>
      <c r="I61" s="15"/>
      <c r="J61" s="15"/>
      <c r="K61" s="15"/>
      <c r="L61" s="36"/>
    </row>
    <row r="62" spans="1:12" ht="18" customHeight="1" x14ac:dyDescent="0.25">
      <c r="A62" s="55"/>
      <c r="B62" s="55"/>
      <c r="C62" s="55"/>
      <c r="D62" s="55"/>
      <c r="E62" s="55"/>
      <c r="F62" s="55"/>
      <c r="G62" s="50"/>
      <c r="H62" s="55"/>
      <c r="I62" s="55"/>
      <c r="J62" s="55"/>
      <c r="K62" s="55"/>
      <c r="L62" s="56"/>
    </row>
    <row r="63" spans="1:12" ht="18" customHeight="1" x14ac:dyDescent="0.25">
      <c r="A63" s="15"/>
      <c r="B63" s="15"/>
      <c r="C63" s="15"/>
      <c r="D63" s="15"/>
      <c r="E63" s="15"/>
      <c r="F63" s="15"/>
      <c r="G63" s="26"/>
      <c r="H63" s="15"/>
      <c r="I63" s="15"/>
      <c r="J63" s="15"/>
      <c r="K63" s="15"/>
      <c r="L63" s="36"/>
    </row>
    <row r="64" spans="1:12" ht="18" customHeight="1" x14ac:dyDescent="0.25">
      <c r="A64" s="55"/>
      <c r="B64" s="55"/>
      <c r="C64" s="55"/>
      <c r="D64" s="55"/>
      <c r="E64" s="55"/>
      <c r="F64" s="55"/>
      <c r="G64" s="50"/>
      <c r="H64" s="55"/>
      <c r="I64" s="55"/>
      <c r="J64" s="55"/>
      <c r="K64" s="55"/>
      <c r="L64" s="56"/>
    </row>
    <row r="65" spans="1:12" ht="18" customHeight="1" x14ac:dyDescent="0.25">
      <c r="A65" s="15"/>
      <c r="B65" s="15"/>
      <c r="C65" s="15"/>
      <c r="D65" s="15"/>
      <c r="E65" s="15"/>
      <c r="F65" s="15"/>
      <c r="G65" s="26"/>
      <c r="H65" s="15"/>
      <c r="I65" s="15"/>
      <c r="J65" s="15"/>
      <c r="K65" s="15"/>
      <c r="L65" s="36"/>
    </row>
    <row r="66" spans="1:12" ht="18" customHeight="1" x14ac:dyDescent="0.25">
      <c r="A66" s="55"/>
      <c r="B66" s="55"/>
      <c r="C66" s="55"/>
      <c r="D66" s="55"/>
      <c r="E66" s="55"/>
      <c r="F66" s="55"/>
      <c r="G66" s="50"/>
      <c r="H66" s="55"/>
      <c r="I66" s="55"/>
      <c r="J66" s="55"/>
      <c r="K66" s="55"/>
      <c r="L66" s="56"/>
    </row>
    <row r="67" spans="1:12" ht="18" customHeight="1" x14ac:dyDescent="0.25">
      <c r="A67" s="15"/>
      <c r="B67" s="15"/>
      <c r="C67" s="15"/>
      <c r="D67" s="15"/>
      <c r="E67" s="15"/>
      <c r="F67" s="15"/>
      <c r="G67" s="26"/>
      <c r="H67" s="15"/>
      <c r="I67" s="15"/>
      <c r="J67" s="15"/>
      <c r="K67" s="15"/>
      <c r="L67" s="36"/>
    </row>
    <row r="68" spans="1:12" ht="18" customHeight="1" x14ac:dyDescent="0.25">
      <c r="A68" s="55"/>
      <c r="B68" s="55"/>
      <c r="C68" s="55"/>
      <c r="D68" s="55"/>
      <c r="E68" s="55"/>
      <c r="F68" s="55"/>
      <c r="G68" s="50"/>
      <c r="H68" s="55"/>
      <c r="I68" s="55"/>
      <c r="J68" s="55"/>
      <c r="K68" s="55"/>
      <c r="L68" s="56"/>
    </row>
    <row r="69" spans="1:12" ht="18" customHeight="1" x14ac:dyDescent="0.25">
      <c r="A69" s="15"/>
      <c r="B69" s="15"/>
      <c r="C69" s="15"/>
      <c r="D69" s="15"/>
      <c r="E69" s="15"/>
      <c r="F69" s="15"/>
      <c r="G69" s="26"/>
      <c r="H69" s="15"/>
      <c r="I69" s="15"/>
      <c r="J69" s="15"/>
      <c r="K69" s="15"/>
      <c r="L69" s="36"/>
    </row>
    <row r="70" spans="1:12" ht="18" customHeight="1" x14ac:dyDescent="0.25">
      <c r="A70" s="55"/>
      <c r="B70" s="55"/>
      <c r="C70" s="55"/>
      <c r="D70" s="55"/>
      <c r="E70" s="55"/>
      <c r="F70" s="55"/>
      <c r="G70" s="50"/>
      <c r="H70" s="55"/>
      <c r="I70" s="55"/>
      <c r="J70" s="55"/>
      <c r="K70" s="55"/>
      <c r="L70" s="56"/>
    </row>
    <row r="71" spans="1:12" ht="18" customHeight="1" x14ac:dyDescent="0.25">
      <c r="A71" s="15"/>
      <c r="B71" s="15"/>
      <c r="C71" s="15"/>
      <c r="D71" s="15"/>
      <c r="E71" s="15"/>
      <c r="F71" s="15"/>
      <c r="G71" s="26"/>
      <c r="H71" s="15"/>
      <c r="I71" s="15"/>
      <c r="J71" s="15"/>
      <c r="K71" s="15"/>
      <c r="L71" s="36"/>
    </row>
    <row r="72" spans="1:12" ht="18" customHeight="1" x14ac:dyDescent="0.25">
      <c r="A72" s="55"/>
      <c r="B72" s="55"/>
      <c r="C72" s="55"/>
      <c r="D72" s="55"/>
      <c r="E72" s="55"/>
      <c r="F72" s="55"/>
      <c r="G72" s="50"/>
      <c r="H72" s="55"/>
      <c r="I72" s="55"/>
      <c r="J72" s="55"/>
      <c r="K72" s="55"/>
      <c r="L72" s="56"/>
    </row>
    <row r="73" spans="1:12" ht="18" customHeight="1" x14ac:dyDescent="0.25">
      <c r="A73" s="15"/>
      <c r="B73" s="15"/>
      <c r="C73" s="15"/>
      <c r="D73" s="15"/>
      <c r="E73" s="15"/>
      <c r="F73" s="15"/>
      <c r="G73" s="26"/>
      <c r="H73" s="15"/>
      <c r="I73" s="15"/>
      <c r="J73" s="15"/>
      <c r="K73" s="15"/>
      <c r="L73" s="36"/>
    </row>
    <row r="74" spans="1:12" ht="18" customHeight="1" x14ac:dyDescent="0.25">
      <c r="A74" s="55"/>
      <c r="B74" s="55"/>
      <c r="C74" s="55"/>
      <c r="D74" s="55"/>
      <c r="E74" s="55"/>
      <c r="F74" s="55"/>
      <c r="G74" s="50"/>
      <c r="H74" s="55"/>
      <c r="I74" s="55"/>
      <c r="J74" s="55"/>
      <c r="K74" s="55"/>
      <c r="L74" s="56"/>
    </row>
    <row r="75" spans="1:12" ht="18" customHeight="1" x14ac:dyDescent="0.25">
      <c r="A75" s="15"/>
      <c r="B75" s="15"/>
      <c r="C75" s="15"/>
      <c r="D75" s="15"/>
      <c r="E75" s="15"/>
      <c r="F75" s="15"/>
      <c r="G75" s="26"/>
      <c r="H75" s="15"/>
      <c r="I75" s="15"/>
      <c r="J75" s="15"/>
      <c r="K75" s="15"/>
      <c r="L75" s="36"/>
    </row>
    <row r="76" spans="1:12" ht="18" customHeight="1" x14ac:dyDescent="0.25">
      <c r="A76" s="55"/>
      <c r="B76" s="55"/>
      <c r="C76" s="55"/>
      <c r="D76" s="55"/>
      <c r="E76" s="55"/>
      <c r="F76" s="55"/>
      <c r="G76" s="50"/>
      <c r="H76" s="55"/>
      <c r="I76" s="55"/>
      <c r="J76" s="55"/>
      <c r="K76" s="55"/>
      <c r="L76" s="56"/>
    </row>
    <row r="77" spans="1:12" ht="18" customHeight="1" x14ac:dyDescent="0.25">
      <c r="A77" s="15"/>
      <c r="B77" s="15"/>
      <c r="C77" s="15"/>
      <c r="D77" s="15"/>
      <c r="E77" s="15"/>
      <c r="F77" s="15"/>
      <c r="G77" s="26"/>
      <c r="H77" s="15"/>
      <c r="I77" s="15"/>
      <c r="J77" s="15"/>
      <c r="K77" s="15"/>
      <c r="L77" s="36"/>
    </row>
    <row r="78" spans="1:12" ht="18" customHeight="1" x14ac:dyDescent="0.25">
      <c r="A78" s="55"/>
      <c r="B78" s="55"/>
      <c r="C78" s="55"/>
      <c r="D78" s="55"/>
      <c r="E78" s="55"/>
      <c r="F78" s="55"/>
      <c r="G78" s="50"/>
      <c r="H78" s="55"/>
      <c r="I78" s="55"/>
      <c r="J78" s="55"/>
      <c r="K78" s="55"/>
      <c r="L78" s="56"/>
    </row>
    <row r="79" spans="1:12" ht="18" customHeight="1" x14ac:dyDescent="0.25">
      <c r="A79" s="15"/>
      <c r="B79" s="15"/>
      <c r="C79" s="15"/>
      <c r="D79" s="15"/>
      <c r="E79" s="15"/>
      <c r="F79" s="15"/>
      <c r="G79" s="26"/>
      <c r="H79" s="15"/>
      <c r="I79" s="15"/>
      <c r="J79" s="15"/>
      <c r="K79" s="15"/>
      <c r="L79" s="36"/>
    </row>
    <row r="80" spans="1:12" ht="18" customHeight="1" x14ac:dyDescent="0.25">
      <c r="A80" s="55"/>
      <c r="B80" s="55"/>
      <c r="C80" s="55"/>
      <c r="D80" s="55"/>
      <c r="E80" s="55"/>
      <c r="F80" s="55"/>
      <c r="G80" s="50"/>
      <c r="H80" s="55"/>
      <c r="I80" s="55"/>
      <c r="J80" s="55"/>
      <c r="K80" s="55"/>
      <c r="L80" s="56"/>
    </row>
    <row r="81" spans="1:12" ht="18" customHeight="1" x14ac:dyDescent="0.25">
      <c r="A81" s="15"/>
      <c r="B81" s="15"/>
      <c r="C81" s="15"/>
      <c r="D81" s="15"/>
      <c r="E81" s="15"/>
      <c r="F81" s="15"/>
      <c r="G81" s="26"/>
      <c r="H81" s="15"/>
      <c r="I81" s="15"/>
      <c r="J81" s="15"/>
      <c r="K81" s="15"/>
      <c r="L81" s="36"/>
    </row>
    <row r="82" spans="1:12" ht="18" customHeight="1" x14ac:dyDescent="0.25">
      <c r="A82" s="55"/>
      <c r="B82" s="55"/>
      <c r="C82" s="55"/>
      <c r="D82" s="55"/>
      <c r="E82" s="55"/>
      <c r="F82" s="55"/>
      <c r="G82" s="50"/>
      <c r="H82" s="55"/>
      <c r="I82" s="55"/>
      <c r="J82" s="55"/>
      <c r="K82" s="55"/>
      <c r="L82" s="56"/>
    </row>
    <row r="83" spans="1:12" ht="18" customHeight="1" x14ac:dyDescent="0.25">
      <c r="A83" s="15"/>
      <c r="B83" s="15"/>
      <c r="C83" s="15"/>
      <c r="D83" s="15"/>
      <c r="E83" s="15"/>
      <c r="F83" s="15"/>
      <c r="G83" s="26"/>
      <c r="H83" s="15"/>
      <c r="I83" s="15"/>
      <c r="J83" s="15"/>
      <c r="K83" s="15"/>
      <c r="L83" s="36"/>
    </row>
    <row r="84" spans="1:12" ht="18" customHeight="1" x14ac:dyDescent="0.25">
      <c r="A84" s="55"/>
      <c r="B84" s="55"/>
      <c r="C84" s="55"/>
      <c r="D84" s="55"/>
      <c r="E84" s="55"/>
      <c r="F84" s="55"/>
      <c r="G84" s="50"/>
      <c r="H84" s="55"/>
      <c r="I84" s="55"/>
      <c r="J84" s="55"/>
      <c r="K84" s="55"/>
      <c r="L84" s="56"/>
    </row>
    <row r="85" spans="1:12" ht="18" customHeight="1" x14ac:dyDescent="0.25">
      <c r="A85" s="15"/>
      <c r="B85" s="15"/>
      <c r="C85" s="15"/>
      <c r="D85" s="15"/>
      <c r="E85" s="15"/>
      <c r="F85" s="15"/>
      <c r="G85" s="26"/>
      <c r="H85" s="15"/>
      <c r="I85" s="15"/>
      <c r="J85" s="15"/>
      <c r="K85" s="15"/>
      <c r="L85" s="36"/>
    </row>
    <row r="86" spans="1:12" ht="18" customHeight="1" x14ac:dyDescent="0.25">
      <c r="A86" s="55"/>
      <c r="B86" s="55"/>
      <c r="C86" s="55"/>
      <c r="D86" s="55"/>
      <c r="E86" s="55"/>
      <c r="F86" s="55"/>
      <c r="G86" s="50"/>
      <c r="H86" s="55"/>
      <c r="I86" s="55"/>
      <c r="J86" s="55"/>
      <c r="K86" s="55"/>
      <c r="L86" s="56"/>
    </row>
    <row r="87" spans="1:12" ht="18" customHeight="1" x14ac:dyDescent="0.25">
      <c r="A87" s="15"/>
      <c r="B87" s="15"/>
      <c r="C87" s="15"/>
      <c r="D87" s="15"/>
      <c r="E87" s="15"/>
      <c r="F87" s="15"/>
      <c r="G87" s="26"/>
      <c r="H87" s="15"/>
      <c r="I87" s="15"/>
      <c r="J87" s="15"/>
      <c r="K87" s="15"/>
      <c r="L87" s="36"/>
    </row>
    <row r="88" spans="1:12" ht="18" customHeight="1" x14ac:dyDescent="0.25">
      <c r="A88" s="55"/>
      <c r="B88" s="55"/>
      <c r="C88" s="55"/>
      <c r="D88" s="55"/>
      <c r="E88" s="55"/>
      <c r="F88" s="55"/>
      <c r="G88" s="50"/>
      <c r="H88" s="55"/>
      <c r="I88" s="55"/>
      <c r="J88" s="55"/>
      <c r="K88" s="55"/>
      <c r="L88" s="56"/>
    </row>
    <row r="89" spans="1:12" ht="18" customHeight="1" x14ac:dyDescent="0.25">
      <c r="A89" s="15"/>
      <c r="B89" s="15"/>
      <c r="C89" s="15"/>
      <c r="D89" s="15"/>
      <c r="E89" s="15"/>
      <c r="F89" s="15"/>
      <c r="G89" s="26"/>
      <c r="H89" s="15"/>
      <c r="I89" s="15"/>
      <c r="J89" s="15"/>
      <c r="K89" s="15"/>
      <c r="L89" s="36"/>
    </row>
    <row r="90" spans="1:12" ht="18" customHeight="1" x14ac:dyDescent="0.25">
      <c r="A90" s="55"/>
      <c r="B90" s="55"/>
      <c r="C90" s="55"/>
      <c r="D90" s="55"/>
      <c r="E90" s="55"/>
      <c r="F90" s="55"/>
      <c r="G90" s="50"/>
      <c r="H90" s="55"/>
      <c r="I90" s="55"/>
      <c r="J90" s="55"/>
      <c r="K90" s="55"/>
      <c r="L90" s="56"/>
    </row>
    <row r="91" spans="1:12" ht="18" customHeight="1" x14ac:dyDescent="0.25">
      <c r="A91" s="15"/>
      <c r="B91" s="15"/>
      <c r="C91" s="15"/>
      <c r="D91" s="15"/>
      <c r="E91" s="15"/>
      <c r="F91" s="15"/>
      <c r="G91" s="26"/>
      <c r="H91" s="15"/>
      <c r="I91" s="15"/>
      <c r="J91" s="15"/>
      <c r="K91" s="15"/>
      <c r="L91" s="36"/>
    </row>
    <row r="92" spans="1:12" ht="18" customHeight="1" x14ac:dyDescent="0.25">
      <c r="A92" s="55"/>
      <c r="B92" s="55"/>
      <c r="C92" s="55"/>
      <c r="D92" s="55"/>
      <c r="E92" s="55"/>
      <c r="F92" s="55"/>
      <c r="G92" s="50"/>
      <c r="H92" s="55"/>
      <c r="I92" s="55"/>
      <c r="J92" s="55"/>
      <c r="K92" s="55"/>
      <c r="L92" s="56"/>
    </row>
    <row r="93" spans="1:12" ht="18" customHeight="1" x14ac:dyDescent="0.25">
      <c r="A93" s="15"/>
      <c r="B93" s="15"/>
      <c r="C93" s="15"/>
      <c r="D93" s="15"/>
      <c r="E93" s="15"/>
      <c r="F93" s="15"/>
      <c r="G93" s="26"/>
      <c r="H93" s="15"/>
      <c r="I93" s="15"/>
      <c r="J93" s="15"/>
      <c r="K93" s="15"/>
      <c r="L93" s="36"/>
    </row>
    <row r="94" spans="1:12" ht="18" customHeight="1" x14ac:dyDescent="0.25">
      <c r="A94" s="55"/>
      <c r="B94" s="55"/>
      <c r="C94" s="55"/>
      <c r="D94" s="55"/>
      <c r="E94" s="55"/>
      <c r="F94" s="55"/>
      <c r="G94" s="50"/>
      <c r="H94" s="55"/>
      <c r="I94" s="55"/>
      <c r="J94" s="55"/>
      <c r="K94" s="55"/>
      <c r="L94" s="56"/>
    </row>
    <row r="95" spans="1:12" ht="18" customHeight="1" x14ac:dyDescent="0.25">
      <c r="A95" s="15"/>
      <c r="B95" s="15"/>
      <c r="C95" s="15"/>
      <c r="D95" s="15"/>
      <c r="E95" s="15"/>
      <c r="F95" s="15"/>
      <c r="G95" s="26"/>
      <c r="H95" s="15"/>
      <c r="I95" s="15"/>
      <c r="J95" s="15"/>
      <c r="K95" s="15"/>
      <c r="L95" s="36"/>
    </row>
    <row r="96" spans="1:12" ht="18" customHeight="1" x14ac:dyDescent="0.25">
      <c r="A96" s="55"/>
      <c r="B96" s="55"/>
      <c r="C96" s="55"/>
      <c r="D96" s="55"/>
      <c r="E96" s="55"/>
      <c r="F96" s="55"/>
      <c r="G96" s="50"/>
      <c r="H96" s="55"/>
      <c r="I96" s="55"/>
      <c r="J96" s="55"/>
      <c r="K96" s="55"/>
      <c r="L96" s="56"/>
    </row>
    <row r="97" spans="1:12" ht="18" customHeight="1" x14ac:dyDescent="0.25">
      <c r="A97" s="15"/>
      <c r="B97" s="15"/>
      <c r="C97" s="15"/>
      <c r="D97" s="15"/>
      <c r="E97" s="15"/>
      <c r="F97" s="15"/>
      <c r="G97" s="26"/>
      <c r="H97" s="15"/>
      <c r="I97" s="15"/>
      <c r="J97" s="15"/>
      <c r="K97" s="15"/>
      <c r="L97" s="36"/>
    </row>
    <row r="98" spans="1:12" ht="18" customHeight="1" x14ac:dyDescent="0.25">
      <c r="A98" s="55"/>
      <c r="B98" s="55"/>
      <c r="C98" s="55"/>
      <c r="D98" s="55"/>
      <c r="E98" s="55"/>
      <c r="F98" s="55"/>
      <c r="G98" s="50"/>
      <c r="H98" s="55"/>
      <c r="I98" s="55"/>
      <c r="J98" s="55"/>
      <c r="K98" s="55"/>
      <c r="L98" s="56"/>
    </row>
    <row r="99" spans="1:12" ht="18" customHeight="1" x14ac:dyDescent="0.25">
      <c r="A99" s="15"/>
      <c r="B99" s="15"/>
      <c r="C99" s="15"/>
      <c r="D99" s="15"/>
      <c r="E99" s="15"/>
      <c r="F99" s="15"/>
      <c r="G99" s="26"/>
      <c r="H99" s="15"/>
      <c r="I99" s="15"/>
      <c r="J99" s="15"/>
      <c r="K99" s="15"/>
      <c r="L99" s="36"/>
    </row>
    <row r="100" spans="1:12" ht="18" customHeight="1" x14ac:dyDescent="0.25">
      <c r="A100" s="55"/>
      <c r="B100" s="55"/>
      <c r="C100" s="55"/>
      <c r="D100" s="55"/>
      <c r="E100" s="55"/>
      <c r="F100" s="55"/>
      <c r="G100" s="50"/>
      <c r="H100" s="55"/>
      <c r="I100" s="55"/>
      <c r="J100" s="55"/>
      <c r="K100" s="55"/>
      <c r="L100" s="56"/>
    </row>
    <row r="101" spans="1:12" ht="18" customHeight="1" x14ac:dyDescent="0.25">
      <c r="A101" s="15"/>
      <c r="B101" s="15"/>
      <c r="C101" s="15"/>
      <c r="D101" s="15"/>
      <c r="E101" s="15"/>
      <c r="F101" s="15"/>
      <c r="G101" s="26"/>
      <c r="H101" s="15"/>
      <c r="I101" s="15"/>
      <c r="J101" s="15"/>
      <c r="K101" s="15"/>
      <c r="L101" s="36"/>
    </row>
    <row r="102" spans="1:12" ht="18" customHeight="1" x14ac:dyDescent="0.25">
      <c r="A102" s="55"/>
      <c r="B102" s="55"/>
      <c r="C102" s="55"/>
      <c r="D102" s="55"/>
      <c r="E102" s="55"/>
      <c r="F102" s="55"/>
      <c r="G102" s="50"/>
      <c r="H102" s="55"/>
      <c r="I102" s="55"/>
      <c r="J102" s="55"/>
      <c r="K102" s="55"/>
      <c r="L102" s="56"/>
    </row>
    <row r="103" spans="1:12" ht="18" customHeight="1" x14ac:dyDescent="0.25">
      <c r="A103" s="15"/>
      <c r="B103" s="15"/>
      <c r="C103" s="15"/>
      <c r="D103" s="15"/>
      <c r="E103" s="15"/>
      <c r="F103" s="15"/>
      <c r="G103" s="26"/>
      <c r="H103" s="15"/>
      <c r="I103" s="15"/>
      <c r="J103" s="15"/>
      <c r="K103" s="15"/>
      <c r="L103" s="36"/>
    </row>
    <row r="104" spans="1:12" ht="18" customHeight="1" x14ac:dyDescent="0.25">
      <c r="A104" s="55"/>
      <c r="B104" s="55"/>
      <c r="C104" s="55"/>
      <c r="D104" s="55"/>
      <c r="E104" s="55"/>
      <c r="F104" s="55"/>
      <c r="G104" s="50"/>
      <c r="H104" s="55"/>
      <c r="I104" s="55"/>
      <c r="J104" s="55"/>
      <c r="K104" s="55"/>
      <c r="L104" s="56"/>
    </row>
    <row r="107" spans="1:12" ht="24" customHeight="1" x14ac:dyDescent="0.25">
      <c r="A107" s="9" t="s">
        <v>181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0" customHeight="1" x14ac:dyDescent="0.25">
      <c r="A108" s="12" t="s">
        <v>182</v>
      </c>
      <c r="B108" s="12" t="s">
        <v>4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18" customHeight="1" x14ac:dyDescent="0.25">
      <c r="A109" s="13" t="s">
        <v>183</v>
      </c>
      <c r="B109" s="57">
        <f>COUNTA(D5:D104)</f>
        <v>0</v>
      </c>
    </row>
    <row r="110" spans="1:12" ht="18" customHeight="1" x14ac:dyDescent="0.25">
      <c r="A110" s="13" t="s">
        <v>184</v>
      </c>
      <c r="B110" s="57">
        <f>SUM(G5:G104)</f>
        <v>0</v>
      </c>
    </row>
    <row r="111" spans="1:12" ht="18" customHeight="1" x14ac:dyDescent="0.25">
      <c r="A111" s="13" t="s">
        <v>185</v>
      </c>
      <c r="B111" s="57">
        <f>SUMIF(F5:F104,"New SDA",G5:G104)</f>
        <v>0</v>
      </c>
    </row>
    <row r="112" spans="1:12" ht="18" customHeight="1" x14ac:dyDescent="0.25">
      <c r="A112" s="13" t="s">
        <v>186</v>
      </c>
      <c r="B112" s="57">
        <f>SUMIF(F5:F104,"Buy-Back",G5:G104)</f>
        <v>0</v>
      </c>
    </row>
    <row r="113" spans="1:2" ht="18" customHeight="1" x14ac:dyDescent="0.25">
      <c r="A113" s="13" t="s">
        <v>187</v>
      </c>
      <c r="B113" s="57">
        <f>SUMIF(J5:J104,"Yes",G5:G104)</f>
        <v>0</v>
      </c>
    </row>
    <row r="114" spans="1:2" ht="18" customHeight="1" x14ac:dyDescent="0.25">
      <c r="A114" s="13" t="s">
        <v>188</v>
      </c>
      <c r="B114" s="57">
        <f>SUMIF(J5:J104,"No",G5:G104)</f>
        <v>0</v>
      </c>
    </row>
    <row r="115" spans="1:2" ht="18" customHeight="1" x14ac:dyDescent="0.25">
      <c r="A115" s="13" t="s">
        <v>189</v>
      </c>
      <c r="B115" s="58">
        <f>IF(B110&gt;0,B113/B110,0)</f>
        <v>0</v>
      </c>
    </row>
    <row r="116" spans="1:2" ht="18" customHeight="1" x14ac:dyDescent="0.25">
      <c r="A116" s="13" t="s">
        <v>190</v>
      </c>
      <c r="B116" s="58">
        <f>IF(B110&gt;0,B112/B110,0)</f>
        <v>0</v>
      </c>
    </row>
  </sheetData>
  <mergeCells count="2">
    <mergeCell ref="A1:L1"/>
    <mergeCell ref="A107:L107"/>
  </mergeCells>
  <dataValidations count="7">
    <dataValidation type="list" allowBlank="1" error="Select New SDA or Buy-Back" prompt="Choose provision type" sqref="F5:F104" xr:uid="{00000000-0002-0000-0300-000000000000}">
      <formula1>"New SDA,Buy-Back"</formula1>
      <formula2>0</formula2>
    </dataValidation>
    <dataValidation type="list" allowBlank="1" sqref="E5:E104" xr:uid="{00000000-0002-0000-0300-000001000000}">
      <formula1>"GP,ACP,ANP,Paramedic,Clinical Pharmacist,Physician Associate,First Contact Physio,MH Practitioner"</formula1>
      <formula2>0</formula2>
    </dataValidation>
    <dataValidation type="list" allowBlank="1" sqref="H5:H104" xr:uid="{00000000-0002-0000-0300-000002000000}">
      <formula1>"F2F - Hub,F2F - Spoke,Remote - Telephone,Remote - Video"</formula1>
      <formula2>0</formula2>
    </dataValidation>
    <dataValidation type="list" allowBlank="1" sqref="A5:A104" xr:uid="{00000000-0002-0000-0300-000003000000}">
      <formula1>"Monday,Tuesday,Wednesday,Thursday,Friday,Saturday"</formula1>
      <formula2>0</formula2>
    </dataValidation>
    <dataValidation type="list" allowBlank="1" sqref="B5:B104" xr:uid="{00000000-0002-0000-0300-000004000000}">
      <formula1>"AM,PM,Evening"</formula1>
      <formula2>0</formula2>
    </dataValidation>
    <dataValidation type="list" allowBlank="1" sqref="C5:C104" xr:uid="{00000000-0002-0000-0300-000005000000}">
      <formula1>"The Parks MC,Brackley MC,Springfield Surgery,Towcester MC,Bugbrooke Surgery,Brook Health Centre,Denton Village Surgery"</formula1>
      <formula2>0</formula2>
    </dataValidation>
    <dataValidation type="list" allowBlank="1" sqref="J5:J104" xr:uid="{00000000-0002-0000-0300-000006000000}">
      <formula1>"Yes,No"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P3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24" customWidth="1"/>
    <col min="2" max="2" width="18" customWidth="1"/>
    <col min="3" max="3" width="14" customWidth="1"/>
    <col min="4" max="15" width="18" customWidth="1"/>
    <col min="16" max="16" width="40" customWidth="1"/>
  </cols>
  <sheetData>
    <row r="1" spans="1:16" ht="27.75" customHeight="1" x14ac:dyDescent="0.25">
      <c r="A1" s="11" t="s">
        <v>191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8" customHeight="1" x14ac:dyDescent="0.25">
      <c r="A2" s="6" t="s">
        <v>192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ht="24" customHeight="1" x14ac:dyDescent="0.25">
      <c r="A4" s="9" t="s">
        <v>193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30" customHeight="1" x14ac:dyDescent="0.25">
      <c r="A5" s="12" t="s">
        <v>194</v>
      </c>
      <c r="B5" s="12" t="s">
        <v>54</v>
      </c>
      <c r="C5" s="12" t="s">
        <v>173</v>
      </c>
      <c r="D5" s="12" t="s">
        <v>195</v>
      </c>
      <c r="E5" s="12" t="s">
        <v>196</v>
      </c>
      <c r="F5" s="12" t="s">
        <v>197</v>
      </c>
      <c r="G5" s="12" t="s">
        <v>198</v>
      </c>
      <c r="H5" s="12" t="s">
        <v>199</v>
      </c>
      <c r="I5" s="12" t="s">
        <v>200</v>
      </c>
      <c r="J5" s="12" t="s">
        <v>201</v>
      </c>
      <c r="K5" s="12" t="s">
        <v>202</v>
      </c>
      <c r="L5" s="12" t="s">
        <v>203</v>
      </c>
      <c r="M5" s="12" t="s">
        <v>204</v>
      </c>
      <c r="N5" s="12" t="s">
        <v>205</v>
      </c>
      <c r="O5" s="12" t="s">
        <v>206</v>
      </c>
      <c r="P5" s="12" t="s">
        <v>207</v>
      </c>
    </row>
    <row r="6" spans="1:16" ht="18" customHeight="1" x14ac:dyDescent="0.25">
      <c r="A6" s="15" t="s">
        <v>208</v>
      </c>
      <c r="B6" s="15" t="s">
        <v>69</v>
      </c>
      <c r="C6" s="15" t="s">
        <v>209</v>
      </c>
      <c r="D6" s="15" t="s">
        <v>49</v>
      </c>
      <c r="E6" s="17">
        <v>8</v>
      </c>
      <c r="F6" s="25">
        <v>11000</v>
      </c>
      <c r="G6" s="36">
        <f t="shared" ref="G6:G25" si="0">IF(E6="","",E6*F6)</f>
        <v>88000</v>
      </c>
      <c r="H6" s="27">
        <f>IF(E6="","",Assumptions!B17)</f>
        <v>0.29380000000000001</v>
      </c>
      <c r="I6" s="36">
        <f t="shared" ref="I6:I25" si="1">IF(G6="","",G6*(1+H6))</f>
        <v>113854.40000000001</v>
      </c>
      <c r="J6" s="22">
        <v>1</v>
      </c>
      <c r="K6" s="33">
        <f t="shared" ref="K6:K25" si="2">IF(I6="","",I6*J6)</f>
        <v>113854.40000000001</v>
      </c>
      <c r="L6" s="17">
        <v>96</v>
      </c>
      <c r="M6" s="59" t="s">
        <v>210</v>
      </c>
      <c r="N6" s="15"/>
      <c r="O6" s="15"/>
      <c r="P6" s="15" t="s">
        <v>211</v>
      </c>
    </row>
    <row r="7" spans="1:16" ht="18" customHeight="1" x14ac:dyDescent="0.25">
      <c r="A7" s="55" t="s">
        <v>212</v>
      </c>
      <c r="B7" s="55" t="s">
        <v>66</v>
      </c>
      <c r="C7" s="53" t="s">
        <v>213</v>
      </c>
      <c r="D7" s="55" t="s">
        <v>214</v>
      </c>
      <c r="E7" s="60"/>
      <c r="F7" s="61"/>
      <c r="G7" s="36" t="str">
        <f t="shared" si="0"/>
        <v/>
      </c>
      <c r="H7" s="27" t="str">
        <f>IF(E7="","",Assumptions!B17)</f>
        <v/>
      </c>
      <c r="I7" s="36" t="str">
        <f t="shared" si="1"/>
        <v/>
      </c>
      <c r="J7" s="62"/>
      <c r="K7" s="33" t="str">
        <f t="shared" si="2"/>
        <v/>
      </c>
      <c r="L7" s="60"/>
      <c r="M7" s="63" t="s">
        <v>215</v>
      </c>
      <c r="N7" s="55"/>
      <c r="O7" s="55"/>
      <c r="P7" s="53" t="s">
        <v>216</v>
      </c>
    </row>
    <row r="8" spans="1:16" ht="18" customHeight="1" x14ac:dyDescent="0.25">
      <c r="A8" s="15" t="s">
        <v>217</v>
      </c>
      <c r="B8" s="15"/>
      <c r="C8" s="15"/>
      <c r="D8" s="15"/>
      <c r="E8" s="60"/>
      <c r="F8" s="61"/>
      <c r="G8" s="36" t="str">
        <f t="shared" si="0"/>
        <v/>
      </c>
      <c r="H8" s="27" t="str">
        <f>IF(E8="","",Assumptions!B17)</f>
        <v/>
      </c>
      <c r="I8" s="36" t="str">
        <f t="shared" si="1"/>
        <v/>
      </c>
      <c r="J8" s="62"/>
      <c r="K8" s="33" t="str">
        <f t="shared" si="2"/>
        <v/>
      </c>
      <c r="L8" s="60"/>
      <c r="M8" s="15"/>
      <c r="N8" s="15"/>
      <c r="O8" s="15"/>
      <c r="P8" s="15"/>
    </row>
    <row r="9" spans="1:16" ht="18" customHeight="1" x14ac:dyDescent="0.25">
      <c r="A9" s="55" t="s">
        <v>218</v>
      </c>
      <c r="B9" s="55"/>
      <c r="C9" s="55"/>
      <c r="D9" s="55"/>
      <c r="E9" s="60"/>
      <c r="F9" s="61"/>
      <c r="G9" s="36" t="str">
        <f t="shared" si="0"/>
        <v/>
      </c>
      <c r="H9" s="27" t="str">
        <f>IF(E9="","",Assumptions!B17)</f>
        <v/>
      </c>
      <c r="I9" s="36" t="str">
        <f t="shared" si="1"/>
        <v/>
      </c>
      <c r="J9" s="62"/>
      <c r="K9" s="33" t="str">
        <f t="shared" si="2"/>
        <v/>
      </c>
      <c r="L9" s="60"/>
      <c r="M9" s="55"/>
      <c r="N9" s="55"/>
      <c r="O9" s="55"/>
      <c r="P9" s="55"/>
    </row>
    <row r="10" spans="1:16" ht="18" customHeight="1" x14ac:dyDescent="0.25">
      <c r="A10" s="15" t="s">
        <v>219</v>
      </c>
      <c r="B10" s="15"/>
      <c r="C10" s="15"/>
      <c r="D10" s="15"/>
      <c r="E10" s="60"/>
      <c r="F10" s="61"/>
      <c r="G10" s="36" t="str">
        <f t="shared" si="0"/>
        <v/>
      </c>
      <c r="H10" s="27" t="str">
        <f>IF(E10="","",Assumptions!B17)</f>
        <v/>
      </c>
      <c r="I10" s="36" t="str">
        <f t="shared" si="1"/>
        <v/>
      </c>
      <c r="J10" s="62"/>
      <c r="K10" s="33" t="str">
        <f t="shared" si="2"/>
        <v/>
      </c>
      <c r="L10" s="60"/>
      <c r="M10" s="15"/>
      <c r="N10" s="15"/>
      <c r="O10" s="15"/>
      <c r="P10" s="15"/>
    </row>
    <row r="11" spans="1:16" ht="18" customHeight="1" x14ac:dyDescent="0.25">
      <c r="A11" s="55" t="s">
        <v>220</v>
      </c>
      <c r="B11" s="55"/>
      <c r="C11" s="55"/>
      <c r="D11" s="55"/>
      <c r="E11" s="60"/>
      <c r="F11" s="61"/>
      <c r="G11" s="36" t="str">
        <f t="shared" si="0"/>
        <v/>
      </c>
      <c r="H11" s="27" t="str">
        <f>IF(E11="","",Assumptions!B17)</f>
        <v/>
      </c>
      <c r="I11" s="36" t="str">
        <f t="shared" si="1"/>
        <v/>
      </c>
      <c r="J11" s="62"/>
      <c r="K11" s="33" t="str">
        <f t="shared" si="2"/>
        <v/>
      </c>
      <c r="L11" s="60"/>
      <c r="M11" s="55"/>
      <c r="N11" s="55"/>
      <c r="O11" s="55"/>
      <c r="P11" s="55"/>
    </row>
    <row r="12" spans="1:16" ht="18" customHeight="1" x14ac:dyDescent="0.25">
      <c r="A12" s="15" t="s">
        <v>221</v>
      </c>
      <c r="B12" s="15"/>
      <c r="C12" s="15"/>
      <c r="D12" s="15"/>
      <c r="E12" s="60"/>
      <c r="F12" s="61"/>
      <c r="G12" s="36" t="str">
        <f t="shared" si="0"/>
        <v/>
      </c>
      <c r="H12" s="27" t="str">
        <f>IF(E12="","",Assumptions!B17)</f>
        <v/>
      </c>
      <c r="I12" s="36" t="str">
        <f t="shared" si="1"/>
        <v/>
      </c>
      <c r="J12" s="62"/>
      <c r="K12" s="33" t="str">
        <f t="shared" si="2"/>
        <v/>
      </c>
      <c r="L12" s="60"/>
      <c r="M12" s="15"/>
      <c r="N12" s="15"/>
      <c r="O12" s="15"/>
      <c r="P12" s="15"/>
    </row>
    <row r="13" spans="1:16" ht="18" customHeight="1" x14ac:dyDescent="0.25">
      <c r="A13" s="55" t="s">
        <v>222</v>
      </c>
      <c r="B13" s="55"/>
      <c r="C13" s="55"/>
      <c r="D13" s="55"/>
      <c r="E13" s="60"/>
      <c r="F13" s="61"/>
      <c r="G13" s="36" t="str">
        <f t="shared" si="0"/>
        <v/>
      </c>
      <c r="H13" s="27" t="str">
        <f>IF(E13="","",Assumptions!B17)</f>
        <v/>
      </c>
      <c r="I13" s="36" t="str">
        <f t="shared" si="1"/>
        <v/>
      </c>
      <c r="J13" s="62"/>
      <c r="K13" s="33" t="str">
        <f t="shared" si="2"/>
        <v/>
      </c>
      <c r="L13" s="60"/>
      <c r="M13" s="55"/>
      <c r="N13" s="55"/>
      <c r="O13" s="55"/>
      <c r="P13" s="55"/>
    </row>
    <row r="14" spans="1:16" ht="18" customHeight="1" x14ac:dyDescent="0.25">
      <c r="A14" s="15" t="s">
        <v>223</v>
      </c>
      <c r="B14" s="15"/>
      <c r="C14" s="15"/>
      <c r="D14" s="15"/>
      <c r="E14" s="60"/>
      <c r="F14" s="61"/>
      <c r="G14" s="36" t="str">
        <f t="shared" si="0"/>
        <v/>
      </c>
      <c r="H14" s="27" t="str">
        <f>IF(E14="","",Assumptions!B17)</f>
        <v/>
      </c>
      <c r="I14" s="36" t="str">
        <f t="shared" si="1"/>
        <v/>
      </c>
      <c r="J14" s="62"/>
      <c r="K14" s="33" t="str">
        <f t="shared" si="2"/>
        <v/>
      </c>
      <c r="L14" s="60"/>
      <c r="M14" s="15"/>
      <c r="N14" s="15"/>
      <c r="O14" s="15"/>
      <c r="P14" s="15"/>
    </row>
    <row r="15" spans="1:16" ht="18" customHeight="1" x14ac:dyDescent="0.25">
      <c r="A15" s="55" t="s">
        <v>224</v>
      </c>
      <c r="B15" s="55"/>
      <c r="C15" s="55"/>
      <c r="D15" s="55"/>
      <c r="E15" s="60"/>
      <c r="F15" s="61"/>
      <c r="G15" s="36" t="str">
        <f t="shared" si="0"/>
        <v/>
      </c>
      <c r="H15" s="27" t="str">
        <f>IF(E15="","",Assumptions!B17)</f>
        <v/>
      </c>
      <c r="I15" s="36" t="str">
        <f t="shared" si="1"/>
        <v/>
      </c>
      <c r="J15" s="62"/>
      <c r="K15" s="33" t="str">
        <f t="shared" si="2"/>
        <v/>
      </c>
      <c r="L15" s="60"/>
      <c r="M15" s="55"/>
      <c r="N15" s="55"/>
      <c r="O15" s="55"/>
      <c r="P15" s="55"/>
    </row>
    <row r="16" spans="1:16" ht="18" customHeight="1" x14ac:dyDescent="0.25">
      <c r="A16" s="15" t="s">
        <v>225</v>
      </c>
      <c r="B16" s="15"/>
      <c r="C16" s="15"/>
      <c r="D16" s="15"/>
      <c r="E16" s="60"/>
      <c r="F16" s="61"/>
      <c r="G16" s="36" t="str">
        <f t="shared" si="0"/>
        <v/>
      </c>
      <c r="H16" s="27" t="str">
        <f>IF(E16="","",Assumptions!B17)</f>
        <v/>
      </c>
      <c r="I16" s="36" t="str">
        <f t="shared" si="1"/>
        <v/>
      </c>
      <c r="J16" s="62"/>
      <c r="K16" s="33" t="str">
        <f t="shared" si="2"/>
        <v/>
      </c>
      <c r="L16" s="60"/>
      <c r="M16" s="15"/>
      <c r="N16" s="15"/>
      <c r="O16" s="15"/>
      <c r="P16" s="15"/>
    </row>
    <row r="17" spans="1:16" ht="18" customHeight="1" x14ac:dyDescent="0.25">
      <c r="A17" s="55" t="s">
        <v>226</v>
      </c>
      <c r="B17" s="55"/>
      <c r="C17" s="55"/>
      <c r="D17" s="55"/>
      <c r="E17" s="60"/>
      <c r="F17" s="61"/>
      <c r="G17" s="36" t="str">
        <f t="shared" si="0"/>
        <v/>
      </c>
      <c r="H17" s="27" t="str">
        <f>IF(E17="","",Assumptions!B17)</f>
        <v/>
      </c>
      <c r="I17" s="36" t="str">
        <f t="shared" si="1"/>
        <v/>
      </c>
      <c r="J17" s="62"/>
      <c r="K17" s="33" t="str">
        <f t="shared" si="2"/>
        <v/>
      </c>
      <c r="L17" s="60"/>
      <c r="M17" s="55"/>
      <c r="N17" s="55"/>
      <c r="O17" s="55"/>
      <c r="P17" s="55"/>
    </row>
    <row r="18" spans="1:16" ht="18" customHeight="1" x14ac:dyDescent="0.25">
      <c r="A18" s="15" t="s">
        <v>227</v>
      </c>
      <c r="B18" s="15"/>
      <c r="C18" s="15"/>
      <c r="D18" s="15"/>
      <c r="E18" s="60"/>
      <c r="F18" s="61"/>
      <c r="G18" s="36" t="str">
        <f t="shared" si="0"/>
        <v/>
      </c>
      <c r="H18" s="27" t="str">
        <f>IF(E18="","",Assumptions!B17)</f>
        <v/>
      </c>
      <c r="I18" s="36" t="str">
        <f t="shared" si="1"/>
        <v/>
      </c>
      <c r="J18" s="62"/>
      <c r="K18" s="33" t="str">
        <f t="shared" si="2"/>
        <v/>
      </c>
      <c r="L18" s="60"/>
      <c r="M18" s="15"/>
      <c r="N18" s="15"/>
      <c r="O18" s="15"/>
      <c r="P18" s="15"/>
    </row>
    <row r="19" spans="1:16" ht="18" customHeight="1" x14ac:dyDescent="0.25">
      <c r="A19" s="55" t="s">
        <v>228</v>
      </c>
      <c r="B19" s="55"/>
      <c r="C19" s="55"/>
      <c r="D19" s="55"/>
      <c r="E19" s="60"/>
      <c r="F19" s="61"/>
      <c r="G19" s="36" t="str">
        <f t="shared" si="0"/>
        <v/>
      </c>
      <c r="H19" s="27" t="str">
        <f>IF(E19="","",Assumptions!B17)</f>
        <v/>
      </c>
      <c r="I19" s="36" t="str">
        <f t="shared" si="1"/>
        <v/>
      </c>
      <c r="J19" s="62"/>
      <c r="K19" s="33" t="str">
        <f t="shared" si="2"/>
        <v/>
      </c>
      <c r="L19" s="60"/>
      <c r="M19" s="55"/>
      <c r="N19" s="55"/>
      <c r="O19" s="55"/>
      <c r="P19" s="55"/>
    </row>
    <row r="20" spans="1:16" ht="18" customHeight="1" x14ac:dyDescent="0.25">
      <c r="A20" s="15" t="s">
        <v>229</v>
      </c>
      <c r="B20" s="15"/>
      <c r="C20" s="15"/>
      <c r="D20" s="15"/>
      <c r="E20" s="60"/>
      <c r="F20" s="61"/>
      <c r="G20" s="36" t="str">
        <f t="shared" si="0"/>
        <v/>
      </c>
      <c r="H20" s="27" t="str">
        <f>IF(E20="","",Assumptions!B17)</f>
        <v/>
      </c>
      <c r="I20" s="36" t="str">
        <f t="shared" si="1"/>
        <v/>
      </c>
      <c r="J20" s="62"/>
      <c r="K20" s="33" t="str">
        <f t="shared" si="2"/>
        <v/>
      </c>
      <c r="L20" s="60"/>
      <c r="M20" s="15"/>
      <c r="N20" s="15"/>
      <c r="O20" s="15"/>
      <c r="P20" s="15"/>
    </row>
    <row r="21" spans="1:16" ht="18" customHeight="1" x14ac:dyDescent="0.25">
      <c r="A21" s="55" t="s">
        <v>230</v>
      </c>
      <c r="B21" s="55"/>
      <c r="C21" s="55"/>
      <c r="D21" s="55"/>
      <c r="E21" s="60"/>
      <c r="F21" s="61"/>
      <c r="G21" s="36" t="str">
        <f t="shared" si="0"/>
        <v/>
      </c>
      <c r="H21" s="27" t="str">
        <f>IF(E21="","",Assumptions!B17)</f>
        <v/>
      </c>
      <c r="I21" s="36" t="str">
        <f t="shared" si="1"/>
        <v/>
      </c>
      <c r="J21" s="62"/>
      <c r="K21" s="33" t="str">
        <f t="shared" si="2"/>
        <v/>
      </c>
      <c r="L21" s="60"/>
      <c r="M21" s="55"/>
      <c r="N21" s="55"/>
      <c r="O21" s="55"/>
      <c r="P21" s="55"/>
    </row>
    <row r="22" spans="1:16" ht="18" customHeight="1" x14ac:dyDescent="0.25">
      <c r="A22" s="15" t="s">
        <v>231</v>
      </c>
      <c r="B22" s="15"/>
      <c r="C22" s="15"/>
      <c r="D22" s="15"/>
      <c r="E22" s="60"/>
      <c r="F22" s="61"/>
      <c r="G22" s="36" t="str">
        <f t="shared" si="0"/>
        <v/>
      </c>
      <c r="H22" s="27" t="str">
        <f>IF(E22="","",Assumptions!B17)</f>
        <v/>
      </c>
      <c r="I22" s="36" t="str">
        <f t="shared" si="1"/>
        <v/>
      </c>
      <c r="J22" s="62"/>
      <c r="K22" s="33" t="str">
        <f t="shared" si="2"/>
        <v/>
      </c>
      <c r="L22" s="60"/>
      <c r="M22" s="15"/>
      <c r="N22" s="15"/>
      <c r="O22" s="15"/>
      <c r="P22" s="15"/>
    </row>
    <row r="23" spans="1:16" ht="18" customHeight="1" x14ac:dyDescent="0.25">
      <c r="A23" s="55" t="s">
        <v>232</v>
      </c>
      <c r="B23" s="55"/>
      <c r="C23" s="55"/>
      <c r="D23" s="55"/>
      <c r="E23" s="60"/>
      <c r="F23" s="61"/>
      <c r="G23" s="36" t="str">
        <f t="shared" si="0"/>
        <v/>
      </c>
      <c r="H23" s="27" t="str">
        <f>IF(E23="","",Assumptions!B17)</f>
        <v/>
      </c>
      <c r="I23" s="36" t="str">
        <f t="shared" si="1"/>
        <v/>
      </c>
      <c r="J23" s="62"/>
      <c r="K23" s="33" t="str">
        <f t="shared" si="2"/>
        <v/>
      </c>
      <c r="L23" s="60"/>
      <c r="M23" s="55"/>
      <c r="N23" s="55"/>
      <c r="O23" s="55"/>
      <c r="P23" s="55"/>
    </row>
    <row r="24" spans="1:16" ht="18" customHeight="1" x14ac:dyDescent="0.25">
      <c r="A24" s="15" t="s">
        <v>233</v>
      </c>
      <c r="B24" s="15"/>
      <c r="C24" s="15"/>
      <c r="D24" s="15"/>
      <c r="E24" s="60"/>
      <c r="F24" s="61"/>
      <c r="G24" s="36" t="str">
        <f t="shared" si="0"/>
        <v/>
      </c>
      <c r="H24" s="27" t="str">
        <f>IF(E24="","",Assumptions!B17)</f>
        <v/>
      </c>
      <c r="I24" s="36" t="str">
        <f t="shared" si="1"/>
        <v/>
      </c>
      <c r="J24" s="62"/>
      <c r="K24" s="33" t="str">
        <f t="shared" si="2"/>
        <v/>
      </c>
      <c r="L24" s="60"/>
      <c r="M24" s="15"/>
      <c r="N24" s="15"/>
      <c r="O24" s="15"/>
      <c r="P24" s="15"/>
    </row>
    <row r="25" spans="1:16" ht="18" customHeight="1" x14ac:dyDescent="0.25">
      <c r="A25" s="55" t="s">
        <v>234</v>
      </c>
      <c r="B25" s="55"/>
      <c r="C25" s="55"/>
      <c r="D25" s="55"/>
      <c r="E25" s="60"/>
      <c r="F25" s="61"/>
      <c r="G25" s="36" t="str">
        <f t="shared" si="0"/>
        <v/>
      </c>
      <c r="H25" s="27" t="str">
        <f>IF(E25="","",Assumptions!B17)</f>
        <v/>
      </c>
      <c r="I25" s="36" t="str">
        <f t="shared" si="1"/>
        <v/>
      </c>
      <c r="J25" s="62"/>
      <c r="K25" s="33" t="str">
        <f t="shared" si="2"/>
        <v/>
      </c>
      <c r="L25" s="60"/>
      <c r="M25" s="55"/>
      <c r="N25" s="55"/>
      <c r="O25" s="55"/>
      <c r="P25" s="55"/>
    </row>
    <row r="28" spans="1:16" ht="24" customHeight="1" x14ac:dyDescent="0.25">
      <c r="A28" s="9" t="s">
        <v>235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30" customHeight="1" x14ac:dyDescent="0.25">
      <c r="A29" s="12" t="s">
        <v>54</v>
      </c>
      <c r="B29" s="12" t="s">
        <v>236</v>
      </c>
      <c r="C29" s="12" t="s">
        <v>237</v>
      </c>
      <c r="D29" s="12" t="s">
        <v>238</v>
      </c>
      <c r="E29" s="12" t="s">
        <v>239</v>
      </c>
      <c r="F29" s="12" t="s">
        <v>240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ht="18" customHeight="1" x14ac:dyDescent="0.25">
      <c r="A30" s="13" t="s">
        <v>59</v>
      </c>
      <c r="B30" s="26">
        <f>COUNTIF(B6:B25,A30)</f>
        <v>0</v>
      </c>
      <c r="C30" s="36">
        <f>SUMIFS(K6:K25,B6:B25,A30,M6:M25,"Approved")</f>
        <v>0</v>
      </c>
      <c r="D30" s="36">
        <f>SUMIFS(K6:K25,B6:B25,A30,M6:M25,"Submitted")+SUMIFS(K6:K25,B6:B25,A30,M6:M25,"Under Review")+SUMIFS(K6:K25,B6:B25,A30,M6:M25,"Draft")</f>
        <v>0</v>
      </c>
      <c r="E30" s="33">
        <f t="shared" ref="E30:E36" si="3">C30+D30</f>
        <v>0</v>
      </c>
      <c r="F30" s="26">
        <f>SUMIFS(L6:L25,B6:B25,A30,M6:M25,"Approved")</f>
        <v>0</v>
      </c>
    </row>
    <row r="31" spans="1:16" ht="18" customHeight="1" x14ac:dyDescent="0.25">
      <c r="A31" s="13" t="s">
        <v>62</v>
      </c>
      <c r="B31" s="26">
        <f>COUNTIF(B6:B25,A31)</f>
        <v>0</v>
      </c>
      <c r="C31" s="36">
        <f>SUMIFS(K6:K25,B6:B25,A31,M6:M25,"Approved")</f>
        <v>0</v>
      </c>
      <c r="D31" s="36">
        <f>SUMIFS(K6:K25,B6:B25,A31,M6:M25,"Submitted")+SUMIFS(K6:K25,B6:B25,A31,M6:M25,"Under Review")+SUMIFS(K6:K25,B6:B25,A31,M6:M25,"Draft")</f>
        <v>0</v>
      </c>
      <c r="E31" s="33">
        <f t="shared" si="3"/>
        <v>0</v>
      </c>
      <c r="F31" s="26">
        <f>SUMIFS(L6:L25,B6:B25,A31,M6:M25,"Approved")</f>
        <v>0</v>
      </c>
    </row>
    <row r="32" spans="1:16" ht="18" customHeight="1" x14ac:dyDescent="0.25">
      <c r="A32" s="13" t="s">
        <v>63</v>
      </c>
      <c r="B32" s="26">
        <f>COUNTIF(B6:B25,A32)</f>
        <v>0</v>
      </c>
      <c r="C32" s="36">
        <f>SUMIFS(K6:K25,B6:B25,A32,M6:M25,"Approved")</f>
        <v>0</v>
      </c>
      <c r="D32" s="36">
        <f>SUMIFS(K6:K25,B6:B25,A32,M6:M25,"Submitted")+SUMIFS(K6:K25,B6:B25,A32,M6:M25,"Under Review")+SUMIFS(K6:K25,B6:B25,A32,M6:M25,"Draft")</f>
        <v>0</v>
      </c>
      <c r="E32" s="33">
        <f t="shared" si="3"/>
        <v>0</v>
      </c>
      <c r="F32" s="26">
        <f>SUMIFS(L6:L25,B6:B25,A32,M6:M25,"Approved")</f>
        <v>0</v>
      </c>
    </row>
    <row r="33" spans="1:6" ht="18" customHeight="1" x14ac:dyDescent="0.25">
      <c r="A33" s="13" t="s">
        <v>66</v>
      </c>
      <c r="B33" s="26">
        <f>COUNTIF(B6:B25,A33)</f>
        <v>1</v>
      </c>
      <c r="C33" s="36">
        <f>SUMIFS(K6:K25,B6:B25,A33,M6:M25,"Approved")</f>
        <v>0</v>
      </c>
      <c r="D33" s="36">
        <f>SUMIFS(K6:K25,B6:B25,A33,M6:M25,"Submitted")+SUMIFS(K6:K25,B6:B25,A33,M6:M25,"Under Review")+SUMIFS(K6:K25,B6:B25,A33,M6:M25,"Draft")</f>
        <v>0</v>
      </c>
      <c r="E33" s="33">
        <f t="shared" si="3"/>
        <v>0</v>
      </c>
      <c r="F33" s="26">
        <f>SUMIFS(L6:L25,B6:B25,A33,M6:M25,"Approved")</f>
        <v>0</v>
      </c>
    </row>
    <row r="34" spans="1:6" ht="18" customHeight="1" x14ac:dyDescent="0.25">
      <c r="A34" s="13" t="s">
        <v>67</v>
      </c>
      <c r="B34" s="26">
        <f>COUNTIF(B6:B25,A34)</f>
        <v>0</v>
      </c>
      <c r="C34" s="36">
        <f>SUMIFS(K6:K25,B6:B25,A34,M6:M25,"Approved")</f>
        <v>0</v>
      </c>
      <c r="D34" s="36">
        <f>SUMIFS(K6:K25,B6:B25,A34,M6:M25,"Submitted")+SUMIFS(K6:K25,B6:B25,A34,M6:M25,"Under Review")+SUMIFS(K6:K25,B6:B25,A34,M6:M25,"Draft")</f>
        <v>0</v>
      </c>
      <c r="E34" s="33">
        <f t="shared" si="3"/>
        <v>0</v>
      </c>
      <c r="F34" s="26">
        <f>SUMIFS(L6:L25,B6:B25,A34,M6:M25,"Approved")</f>
        <v>0</v>
      </c>
    </row>
    <row r="35" spans="1:6" ht="18" customHeight="1" x14ac:dyDescent="0.25">
      <c r="A35" s="13" t="s">
        <v>68</v>
      </c>
      <c r="B35" s="26">
        <f>COUNTIF(B6:B25,A35)</f>
        <v>0</v>
      </c>
      <c r="C35" s="36">
        <f>SUMIFS(K6:K25,B6:B25,A35,M6:M25,"Approved")</f>
        <v>0</v>
      </c>
      <c r="D35" s="36">
        <f>SUMIFS(K6:K25,B6:B25,A35,M6:M25,"Submitted")+SUMIFS(K6:K25,B6:B25,A35,M6:M25,"Under Review")+SUMIFS(K6:K25,B6:B25,A35,M6:M25,"Draft")</f>
        <v>0</v>
      </c>
      <c r="E35" s="33">
        <f t="shared" si="3"/>
        <v>0</v>
      </c>
      <c r="F35" s="26">
        <f>SUMIFS(L6:L25,B6:B25,A35,M6:M25,"Approved")</f>
        <v>0</v>
      </c>
    </row>
    <row r="36" spans="1:6" ht="18" customHeight="1" x14ac:dyDescent="0.25">
      <c r="A36" s="13" t="s">
        <v>69</v>
      </c>
      <c r="B36" s="26">
        <f>COUNTIF(B6:B25,A36)</f>
        <v>1</v>
      </c>
      <c r="C36" s="36">
        <f>SUMIFS(K6:K25,B6:B25,A36,M6:M25,"Approved")</f>
        <v>0</v>
      </c>
      <c r="D36" s="36">
        <f>SUMIFS(K6:K25,B6:B25,A36,M6:M25,"Submitted")+SUMIFS(K6:K25,B6:B25,A36,M6:M25,"Under Review")+SUMIFS(K6:K25,B6:B25,A36,M6:M25,"Draft")</f>
        <v>113854.40000000001</v>
      </c>
      <c r="E36" s="33">
        <f t="shared" si="3"/>
        <v>113854.40000000001</v>
      </c>
      <c r="F36" s="26">
        <f>SUMIFS(L6:L25,B6:B25,A36,M6:M25,"Approved")</f>
        <v>0</v>
      </c>
    </row>
    <row r="37" spans="1:6" ht="18" customHeight="1" x14ac:dyDescent="0.25">
      <c r="A37" s="28" t="s">
        <v>70</v>
      </c>
      <c r="B37" s="29">
        <f>SUM(B30:B36)</f>
        <v>2</v>
      </c>
      <c r="C37" s="39">
        <f>SUM(C30:C36)</f>
        <v>0</v>
      </c>
      <c r="D37" s="39">
        <f>SUM(D30:D36)</f>
        <v>113854.40000000001</v>
      </c>
      <c r="E37" s="39">
        <f>SUM(E30:E36)</f>
        <v>113854.40000000001</v>
      </c>
      <c r="F37" s="29">
        <f>SUM(F30:F36)</f>
        <v>0</v>
      </c>
    </row>
  </sheetData>
  <mergeCells count="4">
    <mergeCell ref="A1:P1"/>
    <mergeCell ref="A2:P2"/>
    <mergeCell ref="A4:P4"/>
    <mergeCell ref="A28:P28"/>
  </mergeCells>
  <dataValidations count="2">
    <dataValidation type="list" allowBlank="1" sqref="M6:M25" xr:uid="{00000000-0002-0000-0400-000000000000}">
      <formula1>"Draft,Submitted,Under Review,Approved,Rejected"</formula1>
      <formula2>0</formula2>
    </dataValidation>
    <dataValidation type="list" allowBlank="1" sqref="B6:B25" xr:uid="{00000000-0002-0000-0400-000001000000}">
      <formula1>"The Parks MC,Brackley MC,Springfield Surgery,Towcester MC,Bugbrooke Surgery,Brook Health Centre,Denton Village Surgery"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085"/>
  </sheetPr>
  <dimension ref="A1:J3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24" customWidth="1"/>
    <col min="2" max="10" width="20" customWidth="1"/>
  </cols>
  <sheetData>
    <row r="1" spans="1:10" ht="27.75" customHeight="1" x14ac:dyDescent="0.25">
      <c r="A1" s="11" t="s">
        <v>241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5" t="s">
        <v>242</v>
      </c>
      <c r="B2" s="5"/>
      <c r="C2" s="5"/>
      <c r="D2" s="5"/>
      <c r="E2" s="5"/>
      <c r="F2" s="5"/>
      <c r="G2" s="5"/>
      <c r="H2" s="5"/>
      <c r="I2" s="5"/>
      <c r="J2" s="5"/>
    </row>
    <row r="4" spans="1:10" ht="24" customHeight="1" x14ac:dyDescent="0.25">
      <c r="A4" s="9" t="s">
        <v>243</v>
      </c>
      <c r="B4" s="9"/>
      <c r="C4" s="9"/>
      <c r="D4" s="9"/>
      <c r="E4" s="9"/>
      <c r="F4" s="9"/>
      <c r="G4" s="9"/>
      <c r="H4" s="9"/>
      <c r="I4" s="9"/>
      <c r="J4" s="9"/>
    </row>
    <row r="5" spans="1:10" ht="30" customHeight="1" x14ac:dyDescent="0.25">
      <c r="A5" s="12" t="s">
        <v>244</v>
      </c>
      <c r="B5" s="12" t="s">
        <v>245</v>
      </c>
      <c r="C5" s="12" t="s">
        <v>98</v>
      </c>
      <c r="D5" s="12" t="s">
        <v>246</v>
      </c>
      <c r="E5" s="12" t="s">
        <v>247</v>
      </c>
      <c r="F5" s="12" t="s">
        <v>248</v>
      </c>
      <c r="G5" s="12" t="s">
        <v>239</v>
      </c>
      <c r="H5" s="12" t="s">
        <v>249</v>
      </c>
      <c r="I5" s="12" t="s">
        <v>250</v>
      </c>
      <c r="J5" s="12" t="s">
        <v>251</v>
      </c>
    </row>
    <row r="6" spans="1:10" ht="18" customHeight="1" x14ac:dyDescent="0.25">
      <c r="A6" s="26">
        <v>1</v>
      </c>
      <c r="B6" s="15" t="s">
        <v>252</v>
      </c>
      <c r="C6" s="36">
        <f>Assumptions!B8/Assumptions!B18</f>
        <v>196562.22666666665</v>
      </c>
      <c r="D6" s="36">
        <f t="shared" ref="D6:D17" si="0">C6*A6</f>
        <v>196562.22666666665</v>
      </c>
      <c r="E6" s="61"/>
      <c r="F6" s="61"/>
      <c r="G6" s="36">
        <f t="shared" ref="G6:G17" si="1">E6+F6</f>
        <v>0</v>
      </c>
      <c r="H6" s="36">
        <f>G6</f>
        <v>0</v>
      </c>
      <c r="I6" s="33">
        <f t="shared" ref="I6:I17" si="2">D6-H6</f>
        <v>196562.22666666665</v>
      </c>
      <c r="J6" s="27">
        <f t="shared" ref="J6:J17" si="3">IF(D6&gt;0,H6/D6,0)</f>
        <v>0</v>
      </c>
    </row>
    <row r="7" spans="1:10" ht="18" customHeight="1" x14ac:dyDescent="0.25">
      <c r="A7" s="26">
        <v>2</v>
      </c>
      <c r="B7" s="15" t="s">
        <v>253</v>
      </c>
      <c r="C7" s="36">
        <f>Assumptions!B8/Assumptions!B18</f>
        <v>196562.22666666665</v>
      </c>
      <c r="D7" s="36">
        <f t="shared" si="0"/>
        <v>393124.45333333331</v>
      </c>
      <c r="E7" s="61"/>
      <c r="F7" s="61"/>
      <c r="G7" s="36">
        <f t="shared" si="1"/>
        <v>0</v>
      </c>
      <c r="H7" s="36">
        <f t="shared" ref="H7:H17" si="4">H6+G7</f>
        <v>0</v>
      </c>
      <c r="I7" s="33">
        <f t="shared" si="2"/>
        <v>393124.45333333331</v>
      </c>
      <c r="J7" s="27">
        <f t="shared" si="3"/>
        <v>0</v>
      </c>
    </row>
    <row r="8" spans="1:10" ht="18" customHeight="1" x14ac:dyDescent="0.25">
      <c r="A8" s="26">
        <v>3</v>
      </c>
      <c r="B8" s="15" t="s">
        <v>254</v>
      </c>
      <c r="C8" s="36">
        <f>Assumptions!B8/Assumptions!B18</f>
        <v>196562.22666666665</v>
      </c>
      <c r="D8" s="36">
        <f t="shared" si="0"/>
        <v>589686.67999999993</v>
      </c>
      <c r="E8" s="61"/>
      <c r="F8" s="61"/>
      <c r="G8" s="36">
        <f t="shared" si="1"/>
        <v>0</v>
      </c>
      <c r="H8" s="36">
        <f t="shared" si="4"/>
        <v>0</v>
      </c>
      <c r="I8" s="33">
        <f t="shared" si="2"/>
        <v>589686.67999999993</v>
      </c>
      <c r="J8" s="27">
        <f t="shared" si="3"/>
        <v>0</v>
      </c>
    </row>
    <row r="9" spans="1:10" ht="18" customHeight="1" x14ac:dyDescent="0.25">
      <c r="A9" s="26">
        <v>4</v>
      </c>
      <c r="B9" s="15" t="s">
        <v>255</v>
      </c>
      <c r="C9" s="36">
        <f>Assumptions!B8/Assumptions!B18</f>
        <v>196562.22666666665</v>
      </c>
      <c r="D9" s="36">
        <f t="shared" si="0"/>
        <v>786248.90666666662</v>
      </c>
      <c r="E9" s="61"/>
      <c r="F9" s="61"/>
      <c r="G9" s="36">
        <f t="shared" si="1"/>
        <v>0</v>
      </c>
      <c r="H9" s="36">
        <f t="shared" si="4"/>
        <v>0</v>
      </c>
      <c r="I9" s="33">
        <f t="shared" si="2"/>
        <v>786248.90666666662</v>
      </c>
      <c r="J9" s="27">
        <f t="shared" si="3"/>
        <v>0</v>
      </c>
    </row>
    <row r="10" spans="1:10" ht="18" customHeight="1" x14ac:dyDescent="0.25">
      <c r="A10" s="26">
        <v>5</v>
      </c>
      <c r="B10" s="15" t="s">
        <v>256</v>
      </c>
      <c r="C10" s="36">
        <f>Assumptions!B8/Assumptions!B18</f>
        <v>196562.22666666665</v>
      </c>
      <c r="D10" s="36">
        <f t="shared" si="0"/>
        <v>982811.1333333333</v>
      </c>
      <c r="E10" s="61"/>
      <c r="F10" s="61"/>
      <c r="G10" s="36">
        <f t="shared" si="1"/>
        <v>0</v>
      </c>
      <c r="H10" s="36">
        <f t="shared" si="4"/>
        <v>0</v>
      </c>
      <c r="I10" s="33">
        <f t="shared" si="2"/>
        <v>982811.1333333333</v>
      </c>
      <c r="J10" s="27">
        <f t="shared" si="3"/>
        <v>0</v>
      </c>
    </row>
    <row r="11" spans="1:10" ht="18" customHeight="1" x14ac:dyDescent="0.25">
      <c r="A11" s="26">
        <v>6</v>
      </c>
      <c r="B11" s="15" t="s">
        <v>257</v>
      </c>
      <c r="C11" s="36">
        <f>Assumptions!B8/Assumptions!B18</f>
        <v>196562.22666666665</v>
      </c>
      <c r="D11" s="36">
        <f t="shared" si="0"/>
        <v>1179373.3599999999</v>
      </c>
      <c r="E11" s="61"/>
      <c r="F11" s="61"/>
      <c r="G11" s="36">
        <f t="shared" si="1"/>
        <v>0</v>
      </c>
      <c r="H11" s="36">
        <f t="shared" si="4"/>
        <v>0</v>
      </c>
      <c r="I11" s="33">
        <f t="shared" si="2"/>
        <v>1179373.3599999999</v>
      </c>
      <c r="J11" s="27">
        <f t="shared" si="3"/>
        <v>0</v>
      </c>
    </row>
    <row r="12" spans="1:10" ht="18" customHeight="1" x14ac:dyDescent="0.25">
      <c r="A12" s="26">
        <v>7</v>
      </c>
      <c r="B12" s="15" t="s">
        <v>258</v>
      </c>
      <c r="C12" s="36">
        <f>Assumptions!B8/Assumptions!B18</f>
        <v>196562.22666666665</v>
      </c>
      <c r="D12" s="36">
        <f t="shared" si="0"/>
        <v>1375935.5866666667</v>
      </c>
      <c r="E12" s="61"/>
      <c r="F12" s="61"/>
      <c r="G12" s="36">
        <f t="shared" si="1"/>
        <v>0</v>
      </c>
      <c r="H12" s="36">
        <f t="shared" si="4"/>
        <v>0</v>
      </c>
      <c r="I12" s="33">
        <f t="shared" si="2"/>
        <v>1375935.5866666667</v>
      </c>
      <c r="J12" s="27">
        <f t="shared" si="3"/>
        <v>0</v>
      </c>
    </row>
    <row r="13" spans="1:10" ht="18" customHeight="1" x14ac:dyDescent="0.25">
      <c r="A13" s="26">
        <v>8</v>
      </c>
      <c r="B13" s="15" t="s">
        <v>259</v>
      </c>
      <c r="C13" s="36">
        <f>Assumptions!B8/Assumptions!B18</f>
        <v>196562.22666666665</v>
      </c>
      <c r="D13" s="36">
        <f t="shared" si="0"/>
        <v>1572497.8133333332</v>
      </c>
      <c r="E13" s="61"/>
      <c r="F13" s="61"/>
      <c r="G13" s="36">
        <f t="shared" si="1"/>
        <v>0</v>
      </c>
      <c r="H13" s="36">
        <f t="shared" si="4"/>
        <v>0</v>
      </c>
      <c r="I13" s="33">
        <f t="shared" si="2"/>
        <v>1572497.8133333332</v>
      </c>
      <c r="J13" s="27">
        <f t="shared" si="3"/>
        <v>0</v>
      </c>
    </row>
    <row r="14" spans="1:10" ht="18" customHeight="1" x14ac:dyDescent="0.25">
      <c r="A14" s="26">
        <v>9</v>
      </c>
      <c r="B14" s="15" t="s">
        <v>260</v>
      </c>
      <c r="C14" s="36">
        <f>Assumptions!B8/Assumptions!B18</f>
        <v>196562.22666666665</v>
      </c>
      <c r="D14" s="36">
        <f t="shared" si="0"/>
        <v>1769060.0399999998</v>
      </c>
      <c r="E14" s="61"/>
      <c r="F14" s="61"/>
      <c r="G14" s="36">
        <f t="shared" si="1"/>
        <v>0</v>
      </c>
      <c r="H14" s="36">
        <f t="shared" si="4"/>
        <v>0</v>
      </c>
      <c r="I14" s="33">
        <f t="shared" si="2"/>
        <v>1769060.0399999998</v>
      </c>
      <c r="J14" s="27">
        <f t="shared" si="3"/>
        <v>0</v>
      </c>
    </row>
    <row r="15" spans="1:10" ht="18" customHeight="1" x14ac:dyDescent="0.25">
      <c r="A15" s="26">
        <v>10</v>
      </c>
      <c r="B15" s="15" t="s">
        <v>261</v>
      </c>
      <c r="C15" s="36">
        <f>Assumptions!B8/Assumptions!B18</f>
        <v>196562.22666666665</v>
      </c>
      <c r="D15" s="36">
        <f t="shared" si="0"/>
        <v>1965622.2666666666</v>
      </c>
      <c r="E15" s="61"/>
      <c r="F15" s="61"/>
      <c r="G15" s="36">
        <f t="shared" si="1"/>
        <v>0</v>
      </c>
      <c r="H15" s="36">
        <f t="shared" si="4"/>
        <v>0</v>
      </c>
      <c r="I15" s="33">
        <f t="shared" si="2"/>
        <v>1965622.2666666666</v>
      </c>
      <c r="J15" s="27">
        <f t="shared" si="3"/>
        <v>0</v>
      </c>
    </row>
    <row r="16" spans="1:10" ht="18" customHeight="1" x14ac:dyDescent="0.25">
      <c r="A16" s="26">
        <v>11</v>
      </c>
      <c r="B16" s="15" t="s">
        <v>262</v>
      </c>
      <c r="C16" s="36">
        <f>Assumptions!B8/Assumptions!B18</f>
        <v>196562.22666666665</v>
      </c>
      <c r="D16" s="36">
        <f t="shared" si="0"/>
        <v>2162184.4933333332</v>
      </c>
      <c r="E16" s="61"/>
      <c r="F16" s="61"/>
      <c r="G16" s="36">
        <f t="shared" si="1"/>
        <v>0</v>
      </c>
      <c r="H16" s="36">
        <f t="shared" si="4"/>
        <v>0</v>
      </c>
      <c r="I16" s="33">
        <f t="shared" si="2"/>
        <v>2162184.4933333332</v>
      </c>
      <c r="J16" s="27">
        <f t="shared" si="3"/>
        <v>0</v>
      </c>
    </row>
    <row r="17" spans="1:10" ht="18" customHeight="1" x14ac:dyDescent="0.25">
      <c r="A17" s="26">
        <v>12</v>
      </c>
      <c r="B17" s="15" t="s">
        <v>263</v>
      </c>
      <c r="C17" s="36">
        <f>Assumptions!B8/Assumptions!B18</f>
        <v>196562.22666666665</v>
      </c>
      <c r="D17" s="36">
        <f t="shared" si="0"/>
        <v>2358746.7199999997</v>
      </c>
      <c r="E17" s="61"/>
      <c r="F17" s="61"/>
      <c r="G17" s="36">
        <f t="shared" si="1"/>
        <v>0</v>
      </c>
      <c r="H17" s="36">
        <f t="shared" si="4"/>
        <v>0</v>
      </c>
      <c r="I17" s="33">
        <f t="shared" si="2"/>
        <v>2358746.7199999997</v>
      </c>
      <c r="J17" s="27">
        <f t="shared" si="3"/>
        <v>0</v>
      </c>
    </row>
    <row r="18" spans="1:10" ht="18" customHeight="1" x14ac:dyDescent="0.25">
      <c r="A18" s="30"/>
      <c r="B18" s="28" t="s">
        <v>264</v>
      </c>
      <c r="C18" s="39">
        <f>SUM(C6:C17)</f>
        <v>2358746.7199999993</v>
      </c>
      <c r="D18" s="39">
        <f>D17</f>
        <v>2358746.7199999997</v>
      </c>
      <c r="E18" s="39">
        <f>SUM(E6:E17)</f>
        <v>0</v>
      </c>
      <c r="F18" s="39">
        <f>SUM(F6:F17)</f>
        <v>0</v>
      </c>
      <c r="G18" s="39">
        <f>SUM(G6:G17)</f>
        <v>0</v>
      </c>
      <c r="H18" s="39">
        <f>H17</f>
        <v>0</v>
      </c>
      <c r="I18" s="39">
        <f>I17</f>
        <v>2358746.7199999997</v>
      </c>
      <c r="J18" s="31">
        <f>J17</f>
        <v>0</v>
      </c>
    </row>
    <row r="21" spans="1:10" ht="24" customHeight="1" x14ac:dyDescent="0.25">
      <c r="A21" s="9" t="s">
        <v>265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 ht="30" customHeight="1" x14ac:dyDescent="0.25">
      <c r="A22" s="12" t="s">
        <v>54</v>
      </c>
      <c r="B22" s="12" t="s">
        <v>97</v>
      </c>
      <c r="C22" s="12" t="s">
        <v>98</v>
      </c>
      <c r="D22" s="12" t="s">
        <v>266</v>
      </c>
      <c r="E22" s="12" t="s">
        <v>267</v>
      </c>
      <c r="F22" s="12" t="s">
        <v>268</v>
      </c>
      <c r="G22" s="12" t="s">
        <v>269</v>
      </c>
      <c r="H22" s="12"/>
      <c r="I22" s="12"/>
      <c r="J22" s="12"/>
    </row>
    <row r="23" spans="1:10" ht="18" customHeight="1" x14ac:dyDescent="0.25">
      <c r="A23" s="13" t="str">
        <f>'Practice Allocations'!A4</f>
        <v>The Parks MC</v>
      </c>
      <c r="B23" s="36">
        <f>'Practice Allocations'!D4</f>
        <v>601034.90999999992</v>
      </c>
      <c r="C23" s="36">
        <f t="shared" ref="C23:C29" si="5">B23/12</f>
        <v>50086.242499999993</v>
      </c>
      <c r="D23" s="36">
        <f t="shared" ref="D23:D29" si="6">C23*3</f>
        <v>150258.72749999998</v>
      </c>
      <c r="E23" s="36">
        <f t="shared" ref="E23:E29" si="7">C23*6</f>
        <v>300517.45499999996</v>
      </c>
      <c r="F23" s="36">
        <f t="shared" ref="F23:F29" si="8">C23*9</f>
        <v>450776.18249999994</v>
      </c>
      <c r="G23" s="36">
        <f t="shared" ref="G23:G29" si="9">B23</f>
        <v>601034.90999999992</v>
      </c>
    </row>
    <row r="24" spans="1:10" ht="18" customHeight="1" x14ac:dyDescent="0.25">
      <c r="A24" s="13" t="str">
        <f>'Practice Allocations'!A5</f>
        <v>Brackley MC</v>
      </c>
      <c r="B24" s="36">
        <f>'Practice Allocations'!D5</f>
        <v>426861.95999999996</v>
      </c>
      <c r="C24" s="36">
        <f t="shared" si="5"/>
        <v>35571.829999999994</v>
      </c>
      <c r="D24" s="36">
        <f t="shared" si="6"/>
        <v>106715.48999999999</v>
      </c>
      <c r="E24" s="36">
        <f t="shared" si="7"/>
        <v>213430.97999999998</v>
      </c>
      <c r="F24" s="36">
        <f t="shared" si="8"/>
        <v>320146.46999999997</v>
      </c>
      <c r="G24" s="36">
        <f t="shared" si="9"/>
        <v>426861.95999999996</v>
      </c>
    </row>
    <row r="25" spans="1:10" ht="18" customHeight="1" x14ac:dyDescent="0.25">
      <c r="A25" s="13" t="str">
        <f>'Practice Allocations'!A6</f>
        <v>Springfield Surgery</v>
      </c>
      <c r="B25" s="36">
        <f>'Practice Allocations'!D6</f>
        <v>332047.63</v>
      </c>
      <c r="C25" s="36">
        <f t="shared" si="5"/>
        <v>27670.635833333334</v>
      </c>
      <c r="D25" s="36">
        <f t="shared" si="6"/>
        <v>83011.907500000001</v>
      </c>
      <c r="E25" s="36">
        <f t="shared" si="7"/>
        <v>166023.815</v>
      </c>
      <c r="F25" s="36">
        <f t="shared" si="8"/>
        <v>249035.7225</v>
      </c>
      <c r="G25" s="36">
        <f t="shared" si="9"/>
        <v>332047.63</v>
      </c>
    </row>
    <row r="26" spans="1:10" ht="18" customHeight="1" x14ac:dyDescent="0.25">
      <c r="A26" s="13" t="str">
        <f>'Practice Allocations'!A7</f>
        <v>Towcester MC</v>
      </c>
      <c r="B26" s="36">
        <f>'Practice Allocations'!D7</f>
        <v>309324.83999999997</v>
      </c>
      <c r="C26" s="36">
        <f t="shared" si="5"/>
        <v>25777.069999999996</v>
      </c>
      <c r="D26" s="36">
        <f t="shared" si="6"/>
        <v>77331.209999999992</v>
      </c>
      <c r="E26" s="36">
        <f t="shared" si="7"/>
        <v>154662.41999999998</v>
      </c>
      <c r="F26" s="36">
        <f t="shared" si="8"/>
        <v>231993.62999999998</v>
      </c>
      <c r="G26" s="36">
        <f t="shared" si="9"/>
        <v>309324.83999999997</v>
      </c>
    </row>
    <row r="27" spans="1:10" ht="18" customHeight="1" x14ac:dyDescent="0.25">
      <c r="A27" s="13" t="str">
        <f>'Practice Allocations'!A8</f>
        <v>Bugbrooke Surgery</v>
      </c>
      <c r="B27" s="36">
        <f>'Practice Allocations'!D8</f>
        <v>284048.03999999998</v>
      </c>
      <c r="C27" s="36">
        <f t="shared" si="5"/>
        <v>23670.67</v>
      </c>
      <c r="D27" s="36">
        <f t="shared" si="6"/>
        <v>71012.009999999995</v>
      </c>
      <c r="E27" s="36">
        <f t="shared" si="7"/>
        <v>142024.01999999999</v>
      </c>
      <c r="F27" s="36">
        <f t="shared" si="8"/>
        <v>213036.02999999997</v>
      </c>
      <c r="G27" s="36">
        <f t="shared" si="9"/>
        <v>284048.03999999998</v>
      </c>
    </row>
    <row r="28" spans="1:10" ht="18" customHeight="1" x14ac:dyDescent="0.25">
      <c r="A28" s="13" t="str">
        <f>'Practice Allocations'!A9</f>
        <v>Brook Health Centre</v>
      </c>
      <c r="B28" s="36">
        <f>'Practice Allocations'!D9</f>
        <v>238786.77</v>
      </c>
      <c r="C28" s="36">
        <f t="shared" si="5"/>
        <v>19898.897499999999</v>
      </c>
      <c r="D28" s="36">
        <f t="shared" si="6"/>
        <v>59696.692499999997</v>
      </c>
      <c r="E28" s="36">
        <f t="shared" si="7"/>
        <v>119393.38499999999</v>
      </c>
      <c r="F28" s="36">
        <f t="shared" si="8"/>
        <v>179090.07749999998</v>
      </c>
      <c r="G28" s="36">
        <f t="shared" si="9"/>
        <v>238786.77</v>
      </c>
    </row>
    <row r="29" spans="1:10" ht="18" customHeight="1" x14ac:dyDescent="0.25">
      <c r="A29" s="13" t="str">
        <f>'Practice Allocations'!A10</f>
        <v>Denton Village Surgery</v>
      </c>
      <c r="B29" s="36">
        <f>'Practice Allocations'!D10</f>
        <v>166642.56999999998</v>
      </c>
      <c r="C29" s="36">
        <f t="shared" si="5"/>
        <v>13886.880833333331</v>
      </c>
      <c r="D29" s="36">
        <f t="shared" si="6"/>
        <v>41660.642499999994</v>
      </c>
      <c r="E29" s="36">
        <f t="shared" si="7"/>
        <v>83321.284999999989</v>
      </c>
      <c r="F29" s="36">
        <f t="shared" si="8"/>
        <v>124981.92749999998</v>
      </c>
      <c r="G29" s="36">
        <f t="shared" si="9"/>
        <v>166642.56999999998</v>
      </c>
    </row>
    <row r="30" spans="1:10" ht="18" customHeight="1" x14ac:dyDescent="0.25">
      <c r="A30" s="28" t="s">
        <v>70</v>
      </c>
      <c r="B30" s="39">
        <f t="shared" ref="B30:G30" si="10">SUM(B23:B29)</f>
        <v>2358746.7199999997</v>
      </c>
      <c r="C30" s="39">
        <f t="shared" si="10"/>
        <v>196562.22666666663</v>
      </c>
      <c r="D30" s="39">
        <f t="shared" si="10"/>
        <v>589686.67999999993</v>
      </c>
      <c r="E30" s="39">
        <f t="shared" si="10"/>
        <v>1179373.3599999999</v>
      </c>
      <c r="F30" s="39">
        <f t="shared" si="10"/>
        <v>1769060.0399999998</v>
      </c>
      <c r="G30" s="39">
        <f t="shared" si="10"/>
        <v>2358746.7199999997</v>
      </c>
    </row>
  </sheetData>
  <mergeCells count="4">
    <mergeCell ref="A1:J1"/>
    <mergeCell ref="A2:J2"/>
    <mergeCell ref="A4:J4"/>
    <mergeCell ref="A21:J21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L5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5" x14ac:dyDescent="0.25"/>
  <cols>
    <col min="1" max="1" width="10" customWidth="1"/>
    <col min="2" max="2" width="14" customWidth="1"/>
    <col min="3" max="12" width="16" customWidth="1"/>
  </cols>
  <sheetData>
    <row r="1" spans="1:12" ht="27.75" customHeight="1" x14ac:dyDescent="0.25">
      <c r="A1" s="11" t="s">
        <v>270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8" customHeight="1" x14ac:dyDescent="0.25">
      <c r="A2" s="4" t="s">
        <v>271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0" customHeight="1" x14ac:dyDescent="0.25">
      <c r="A3" s="12" t="s">
        <v>272</v>
      </c>
      <c r="B3" s="12" t="s">
        <v>273</v>
      </c>
      <c r="C3" s="12" t="s">
        <v>59</v>
      </c>
      <c r="D3" s="12" t="s">
        <v>62</v>
      </c>
      <c r="E3" s="12" t="s">
        <v>136</v>
      </c>
      <c r="F3" s="12" t="s">
        <v>66</v>
      </c>
      <c r="G3" s="12" t="s">
        <v>139</v>
      </c>
      <c r="H3" s="12" t="s">
        <v>158</v>
      </c>
      <c r="I3" s="12" t="s">
        <v>159</v>
      </c>
      <c r="J3" s="12" t="s">
        <v>274</v>
      </c>
      <c r="K3" s="12" t="s">
        <v>275</v>
      </c>
      <c r="L3" s="12" t="s">
        <v>276</v>
      </c>
    </row>
    <row r="4" spans="1:12" ht="18" customHeight="1" x14ac:dyDescent="0.25">
      <c r="A4" s="26">
        <v>1</v>
      </c>
      <c r="B4" s="63" t="s">
        <v>277</v>
      </c>
      <c r="C4" s="60"/>
      <c r="D4" s="60"/>
      <c r="E4" s="60"/>
      <c r="F4" s="60"/>
      <c r="G4" s="60"/>
      <c r="H4" s="60"/>
      <c r="I4" s="60"/>
      <c r="J4" s="57">
        <f t="shared" ref="J4:J35" si="0">SUM(C4:I4)</f>
        <v>0</v>
      </c>
      <c r="K4" s="38">
        <f>IF(B4="Winter",'Practice Allocations'!J11,'Practice Allocations'!G11)</f>
        <v>1630.4288000000001</v>
      </c>
      <c r="L4" s="13" t="str">
        <f t="shared" ref="L4:L35" si="1">IF(J4="","",IF(J4&gt;=K4,"GREEN",IF(J4&gt;=K4*0.8,"AMBER","RED")))</f>
        <v>RED</v>
      </c>
    </row>
    <row r="5" spans="1:12" ht="18" customHeight="1" x14ac:dyDescent="0.25">
      <c r="A5" s="26">
        <v>2</v>
      </c>
      <c r="B5" s="63" t="s">
        <v>277</v>
      </c>
      <c r="C5" s="60"/>
      <c r="D5" s="60"/>
      <c r="E5" s="60"/>
      <c r="F5" s="60"/>
      <c r="G5" s="60"/>
      <c r="H5" s="60"/>
      <c r="I5" s="60"/>
      <c r="J5" s="57">
        <f t="shared" si="0"/>
        <v>0</v>
      </c>
      <c r="K5" s="38">
        <f>IF(B5="Winter",'Practice Allocations'!J11,'Practice Allocations'!G11)</f>
        <v>1630.4288000000001</v>
      </c>
      <c r="L5" s="13" t="str">
        <f t="shared" si="1"/>
        <v>RED</v>
      </c>
    </row>
    <row r="6" spans="1:12" ht="18" customHeight="1" x14ac:dyDescent="0.25">
      <c r="A6" s="26">
        <v>3</v>
      </c>
      <c r="B6" s="63" t="s">
        <v>277</v>
      </c>
      <c r="C6" s="60"/>
      <c r="D6" s="60"/>
      <c r="E6" s="60"/>
      <c r="F6" s="60"/>
      <c r="G6" s="60"/>
      <c r="H6" s="60"/>
      <c r="I6" s="60"/>
      <c r="J6" s="57">
        <f t="shared" si="0"/>
        <v>0</v>
      </c>
      <c r="K6" s="38">
        <f>IF(B6="Winter",'Practice Allocations'!J11,'Practice Allocations'!G11)</f>
        <v>1630.4288000000001</v>
      </c>
      <c r="L6" s="13" t="str">
        <f t="shared" si="1"/>
        <v>RED</v>
      </c>
    </row>
    <row r="7" spans="1:12" ht="18" customHeight="1" x14ac:dyDescent="0.25">
      <c r="A7" s="26">
        <v>4</v>
      </c>
      <c r="B7" s="63" t="s">
        <v>277</v>
      </c>
      <c r="C7" s="60"/>
      <c r="D7" s="60"/>
      <c r="E7" s="60"/>
      <c r="F7" s="60"/>
      <c r="G7" s="60"/>
      <c r="H7" s="60"/>
      <c r="I7" s="60"/>
      <c r="J7" s="57">
        <f t="shared" si="0"/>
        <v>0</v>
      </c>
      <c r="K7" s="38">
        <f>IF(B7="Winter",'Practice Allocations'!J11,'Practice Allocations'!G11)</f>
        <v>1630.4288000000001</v>
      </c>
      <c r="L7" s="13" t="str">
        <f t="shared" si="1"/>
        <v>RED</v>
      </c>
    </row>
    <row r="8" spans="1:12" ht="18" customHeight="1" x14ac:dyDescent="0.25">
      <c r="A8" s="26">
        <v>5</v>
      </c>
      <c r="B8" s="63" t="s">
        <v>277</v>
      </c>
      <c r="C8" s="60"/>
      <c r="D8" s="60"/>
      <c r="E8" s="60"/>
      <c r="F8" s="60"/>
      <c r="G8" s="60"/>
      <c r="H8" s="60"/>
      <c r="I8" s="60"/>
      <c r="J8" s="57">
        <f t="shared" si="0"/>
        <v>0</v>
      </c>
      <c r="K8" s="38">
        <f>IF(B8="Winter",'Practice Allocations'!J11,'Practice Allocations'!G11)</f>
        <v>1630.4288000000001</v>
      </c>
      <c r="L8" s="13" t="str">
        <f t="shared" si="1"/>
        <v>RED</v>
      </c>
    </row>
    <row r="9" spans="1:12" ht="18" customHeight="1" x14ac:dyDescent="0.25">
      <c r="A9" s="26">
        <v>6</v>
      </c>
      <c r="B9" s="63" t="s">
        <v>277</v>
      </c>
      <c r="C9" s="60"/>
      <c r="D9" s="60"/>
      <c r="E9" s="60"/>
      <c r="F9" s="60"/>
      <c r="G9" s="60"/>
      <c r="H9" s="60"/>
      <c r="I9" s="60"/>
      <c r="J9" s="57">
        <f t="shared" si="0"/>
        <v>0</v>
      </c>
      <c r="K9" s="38">
        <f>IF(B9="Winter",'Practice Allocations'!J11,'Practice Allocations'!G11)</f>
        <v>1630.4288000000001</v>
      </c>
      <c r="L9" s="13" t="str">
        <f t="shared" si="1"/>
        <v>RED</v>
      </c>
    </row>
    <row r="10" spans="1:12" ht="18" customHeight="1" x14ac:dyDescent="0.25">
      <c r="A10" s="26">
        <v>7</v>
      </c>
      <c r="B10" s="63" t="s">
        <v>277</v>
      </c>
      <c r="C10" s="60"/>
      <c r="D10" s="60"/>
      <c r="E10" s="60"/>
      <c r="F10" s="60"/>
      <c r="G10" s="60"/>
      <c r="H10" s="60"/>
      <c r="I10" s="60"/>
      <c r="J10" s="57">
        <f t="shared" si="0"/>
        <v>0</v>
      </c>
      <c r="K10" s="38">
        <f>IF(B10="Winter",'Practice Allocations'!J11,'Practice Allocations'!G11)</f>
        <v>1630.4288000000001</v>
      </c>
      <c r="L10" s="13" t="str">
        <f t="shared" si="1"/>
        <v>RED</v>
      </c>
    </row>
    <row r="11" spans="1:12" ht="18" customHeight="1" x14ac:dyDescent="0.25">
      <c r="A11" s="26">
        <v>8</v>
      </c>
      <c r="B11" s="63" t="s">
        <v>277</v>
      </c>
      <c r="C11" s="60"/>
      <c r="D11" s="60"/>
      <c r="E11" s="60"/>
      <c r="F11" s="60"/>
      <c r="G11" s="60"/>
      <c r="H11" s="60"/>
      <c r="I11" s="60"/>
      <c r="J11" s="57">
        <f t="shared" si="0"/>
        <v>0</v>
      </c>
      <c r="K11" s="38">
        <f>IF(B11="Winter",'Practice Allocations'!J11,'Practice Allocations'!G11)</f>
        <v>1630.4288000000001</v>
      </c>
      <c r="L11" s="13" t="str">
        <f t="shared" si="1"/>
        <v>RED</v>
      </c>
    </row>
    <row r="12" spans="1:12" ht="18" customHeight="1" x14ac:dyDescent="0.25">
      <c r="A12" s="26">
        <v>9</v>
      </c>
      <c r="B12" s="63" t="s">
        <v>277</v>
      </c>
      <c r="C12" s="60"/>
      <c r="D12" s="60"/>
      <c r="E12" s="60"/>
      <c r="F12" s="60"/>
      <c r="G12" s="60"/>
      <c r="H12" s="60"/>
      <c r="I12" s="60"/>
      <c r="J12" s="57">
        <f t="shared" si="0"/>
        <v>0</v>
      </c>
      <c r="K12" s="38">
        <f>IF(B12="Winter",'Practice Allocations'!J11,'Practice Allocations'!G11)</f>
        <v>1630.4288000000001</v>
      </c>
      <c r="L12" s="13" t="str">
        <f t="shared" si="1"/>
        <v>RED</v>
      </c>
    </row>
    <row r="13" spans="1:12" ht="18" customHeight="1" x14ac:dyDescent="0.25">
      <c r="A13" s="26">
        <v>10</v>
      </c>
      <c r="B13" s="63" t="s">
        <v>277</v>
      </c>
      <c r="C13" s="60"/>
      <c r="D13" s="60"/>
      <c r="E13" s="60"/>
      <c r="F13" s="60"/>
      <c r="G13" s="60"/>
      <c r="H13" s="60"/>
      <c r="I13" s="60"/>
      <c r="J13" s="57">
        <f t="shared" si="0"/>
        <v>0</v>
      </c>
      <c r="K13" s="38">
        <f>IF(B13="Winter",'Practice Allocations'!J11,'Practice Allocations'!G11)</f>
        <v>1630.4288000000001</v>
      </c>
      <c r="L13" s="13" t="str">
        <f t="shared" si="1"/>
        <v>RED</v>
      </c>
    </row>
    <row r="14" spans="1:12" ht="18" customHeight="1" x14ac:dyDescent="0.25">
      <c r="A14" s="26">
        <v>11</v>
      </c>
      <c r="B14" s="63" t="s">
        <v>277</v>
      </c>
      <c r="C14" s="60"/>
      <c r="D14" s="60"/>
      <c r="E14" s="60"/>
      <c r="F14" s="60"/>
      <c r="G14" s="60"/>
      <c r="H14" s="60"/>
      <c r="I14" s="60"/>
      <c r="J14" s="57">
        <f t="shared" si="0"/>
        <v>0</v>
      </c>
      <c r="K14" s="38">
        <f>IF(B14="Winter",'Practice Allocations'!J11,'Practice Allocations'!G11)</f>
        <v>1630.4288000000001</v>
      </c>
      <c r="L14" s="13" t="str">
        <f t="shared" si="1"/>
        <v>RED</v>
      </c>
    </row>
    <row r="15" spans="1:12" ht="18" customHeight="1" x14ac:dyDescent="0.25">
      <c r="A15" s="26">
        <v>12</v>
      </c>
      <c r="B15" s="63" t="s">
        <v>277</v>
      </c>
      <c r="C15" s="60"/>
      <c r="D15" s="60"/>
      <c r="E15" s="60"/>
      <c r="F15" s="60"/>
      <c r="G15" s="60"/>
      <c r="H15" s="60"/>
      <c r="I15" s="60"/>
      <c r="J15" s="57">
        <f t="shared" si="0"/>
        <v>0</v>
      </c>
      <c r="K15" s="38">
        <f>IF(B15="Winter",'Practice Allocations'!J11,'Practice Allocations'!G11)</f>
        <v>1630.4288000000001</v>
      </c>
      <c r="L15" s="13" t="str">
        <f t="shared" si="1"/>
        <v>RED</v>
      </c>
    </row>
    <row r="16" spans="1:12" ht="18" customHeight="1" x14ac:dyDescent="0.25">
      <c r="A16" s="26">
        <v>13</v>
      </c>
      <c r="B16" s="64" t="s">
        <v>169</v>
      </c>
      <c r="C16" s="60"/>
      <c r="D16" s="60"/>
      <c r="E16" s="60"/>
      <c r="F16" s="60"/>
      <c r="G16" s="60"/>
      <c r="H16" s="60"/>
      <c r="I16" s="60"/>
      <c r="J16" s="57">
        <f t="shared" si="0"/>
        <v>0</v>
      </c>
      <c r="K16" s="38">
        <f>IF(B16="Winter",'Practice Allocations'!J11,'Practice Allocations'!G11)</f>
        <v>1361.6768</v>
      </c>
      <c r="L16" s="13" t="str">
        <f t="shared" si="1"/>
        <v>RED</v>
      </c>
    </row>
    <row r="17" spans="1:12" ht="18" customHeight="1" x14ac:dyDescent="0.25">
      <c r="A17" s="26">
        <v>14</v>
      </c>
      <c r="B17" s="64" t="s">
        <v>169</v>
      </c>
      <c r="C17" s="60"/>
      <c r="D17" s="60"/>
      <c r="E17" s="60"/>
      <c r="F17" s="60"/>
      <c r="G17" s="60"/>
      <c r="H17" s="60"/>
      <c r="I17" s="60"/>
      <c r="J17" s="57">
        <f t="shared" si="0"/>
        <v>0</v>
      </c>
      <c r="K17" s="38">
        <f>IF(B17="Winter",'Practice Allocations'!J11,'Practice Allocations'!G11)</f>
        <v>1361.6768</v>
      </c>
      <c r="L17" s="13" t="str">
        <f t="shared" si="1"/>
        <v>RED</v>
      </c>
    </row>
    <row r="18" spans="1:12" ht="18" customHeight="1" x14ac:dyDescent="0.25">
      <c r="A18" s="26">
        <v>15</v>
      </c>
      <c r="B18" s="64" t="s">
        <v>169</v>
      </c>
      <c r="C18" s="60"/>
      <c r="D18" s="60"/>
      <c r="E18" s="60"/>
      <c r="F18" s="60"/>
      <c r="G18" s="60"/>
      <c r="H18" s="60"/>
      <c r="I18" s="60"/>
      <c r="J18" s="57">
        <f t="shared" si="0"/>
        <v>0</v>
      </c>
      <c r="K18" s="38">
        <f>IF(B18="Winter",'Practice Allocations'!J11,'Practice Allocations'!G11)</f>
        <v>1361.6768</v>
      </c>
      <c r="L18" s="13" t="str">
        <f t="shared" si="1"/>
        <v>RED</v>
      </c>
    </row>
    <row r="19" spans="1:12" ht="18" customHeight="1" x14ac:dyDescent="0.25">
      <c r="A19" s="26">
        <v>16</v>
      </c>
      <c r="B19" s="64" t="s">
        <v>169</v>
      </c>
      <c r="C19" s="60"/>
      <c r="D19" s="60"/>
      <c r="E19" s="60"/>
      <c r="F19" s="60"/>
      <c r="G19" s="60"/>
      <c r="H19" s="60"/>
      <c r="I19" s="60"/>
      <c r="J19" s="57">
        <f t="shared" si="0"/>
        <v>0</v>
      </c>
      <c r="K19" s="38">
        <f>IF(B19="Winter",'Practice Allocations'!J11,'Practice Allocations'!G11)</f>
        <v>1361.6768</v>
      </c>
      <c r="L19" s="13" t="str">
        <f t="shared" si="1"/>
        <v>RED</v>
      </c>
    </row>
    <row r="20" spans="1:12" ht="18" customHeight="1" x14ac:dyDescent="0.25">
      <c r="A20" s="26">
        <v>17</v>
      </c>
      <c r="B20" s="64" t="s">
        <v>169</v>
      </c>
      <c r="C20" s="60"/>
      <c r="D20" s="60"/>
      <c r="E20" s="60"/>
      <c r="F20" s="60"/>
      <c r="G20" s="60"/>
      <c r="H20" s="60"/>
      <c r="I20" s="60"/>
      <c r="J20" s="57">
        <f t="shared" si="0"/>
        <v>0</v>
      </c>
      <c r="K20" s="38">
        <f>IF(B20="Winter",'Practice Allocations'!J11,'Practice Allocations'!G11)</f>
        <v>1361.6768</v>
      </c>
      <c r="L20" s="13" t="str">
        <f t="shared" si="1"/>
        <v>RED</v>
      </c>
    </row>
    <row r="21" spans="1:12" ht="18" customHeight="1" x14ac:dyDescent="0.25">
      <c r="A21" s="26">
        <v>18</v>
      </c>
      <c r="B21" s="64" t="s">
        <v>169</v>
      </c>
      <c r="C21" s="60"/>
      <c r="D21" s="60"/>
      <c r="E21" s="60"/>
      <c r="F21" s="60"/>
      <c r="G21" s="60"/>
      <c r="H21" s="60"/>
      <c r="I21" s="60"/>
      <c r="J21" s="57">
        <f t="shared" si="0"/>
        <v>0</v>
      </c>
      <c r="K21" s="38">
        <f>IF(B21="Winter",'Practice Allocations'!J11,'Practice Allocations'!G11)</f>
        <v>1361.6768</v>
      </c>
      <c r="L21" s="13" t="str">
        <f t="shared" si="1"/>
        <v>RED</v>
      </c>
    </row>
    <row r="22" spans="1:12" ht="18" customHeight="1" x14ac:dyDescent="0.25">
      <c r="A22" s="26">
        <v>19</v>
      </c>
      <c r="B22" s="64" t="s">
        <v>169</v>
      </c>
      <c r="C22" s="60"/>
      <c r="D22" s="60"/>
      <c r="E22" s="60"/>
      <c r="F22" s="60"/>
      <c r="G22" s="60"/>
      <c r="H22" s="60"/>
      <c r="I22" s="60"/>
      <c r="J22" s="57">
        <f t="shared" si="0"/>
        <v>0</v>
      </c>
      <c r="K22" s="38">
        <f>IF(B22="Winter",'Practice Allocations'!J11,'Practice Allocations'!G11)</f>
        <v>1361.6768</v>
      </c>
      <c r="L22" s="13" t="str">
        <f t="shared" si="1"/>
        <v>RED</v>
      </c>
    </row>
    <row r="23" spans="1:12" ht="18" customHeight="1" x14ac:dyDescent="0.25">
      <c r="A23" s="26">
        <v>20</v>
      </c>
      <c r="B23" s="64" t="s">
        <v>169</v>
      </c>
      <c r="C23" s="60"/>
      <c r="D23" s="60"/>
      <c r="E23" s="60"/>
      <c r="F23" s="60"/>
      <c r="G23" s="60"/>
      <c r="H23" s="60"/>
      <c r="I23" s="60"/>
      <c r="J23" s="57">
        <f t="shared" si="0"/>
        <v>0</v>
      </c>
      <c r="K23" s="38">
        <f>IF(B23="Winter",'Practice Allocations'!J11,'Practice Allocations'!G11)</f>
        <v>1361.6768</v>
      </c>
      <c r="L23" s="13" t="str">
        <f t="shared" si="1"/>
        <v>RED</v>
      </c>
    </row>
    <row r="24" spans="1:12" ht="18" customHeight="1" x14ac:dyDescent="0.25">
      <c r="A24" s="26">
        <v>21</v>
      </c>
      <c r="B24" s="64" t="s">
        <v>169</v>
      </c>
      <c r="C24" s="60"/>
      <c r="D24" s="60"/>
      <c r="E24" s="60"/>
      <c r="F24" s="60"/>
      <c r="G24" s="60"/>
      <c r="H24" s="60"/>
      <c r="I24" s="60"/>
      <c r="J24" s="57">
        <f t="shared" si="0"/>
        <v>0</v>
      </c>
      <c r="K24" s="38">
        <f>IF(B24="Winter",'Practice Allocations'!J11,'Practice Allocations'!G11)</f>
        <v>1361.6768</v>
      </c>
      <c r="L24" s="13" t="str">
        <f t="shared" si="1"/>
        <v>RED</v>
      </c>
    </row>
    <row r="25" spans="1:12" ht="18" customHeight="1" x14ac:dyDescent="0.25">
      <c r="A25" s="26">
        <v>22</v>
      </c>
      <c r="B25" s="64" t="s">
        <v>169</v>
      </c>
      <c r="C25" s="60"/>
      <c r="D25" s="60"/>
      <c r="E25" s="60"/>
      <c r="F25" s="60"/>
      <c r="G25" s="60"/>
      <c r="H25" s="60"/>
      <c r="I25" s="60"/>
      <c r="J25" s="57">
        <f t="shared" si="0"/>
        <v>0</v>
      </c>
      <c r="K25" s="38">
        <f>IF(B25="Winter",'Practice Allocations'!J11,'Practice Allocations'!G11)</f>
        <v>1361.6768</v>
      </c>
      <c r="L25" s="13" t="str">
        <f t="shared" si="1"/>
        <v>RED</v>
      </c>
    </row>
    <row r="26" spans="1:12" ht="18" customHeight="1" x14ac:dyDescent="0.25">
      <c r="A26" s="26">
        <v>23</v>
      </c>
      <c r="B26" s="64" t="s">
        <v>169</v>
      </c>
      <c r="C26" s="60"/>
      <c r="D26" s="60"/>
      <c r="E26" s="60"/>
      <c r="F26" s="60"/>
      <c r="G26" s="60"/>
      <c r="H26" s="60"/>
      <c r="I26" s="60"/>
      <c r="J26" s="57">
        <f t="shared" si="0"/>
        <v>0</v>
      </c>
      <c r="K26" s="38">
        <f>IF(B26="Winter",'Practice Allocations'!J11,'Practice Allocations'!G11)</f>
        <v>1361.6768</v>
      </c>
      <c r="L26" s="13" t="str">
        <f t="shared" si="1"/>
        <v>RED</v>
      </c>
    </row>
    <row r="27" spans="1:12" ht="18" customHeight="1" x14ac:dyDescent="0.25">
      <c r="A27" s="26">
        <v>24</v>
      </c>
      <c r="B27" s="64" t="s">
        <v>169</v>
      </c>
      <c r="C27" s="60"/>
      <c r="D27" s="60"/>
      <c r="E27" s="60"/>
      <c r="F27" s="60"/>
      <c r="G27" s="60"/>
      <c r="H27" s="60"/>
      <c r="I27" s="60"/>
      <c r="J27" s="57">
        <f t="shared" si="0"/>
        <v>0</v>
      </c>
      <c r="K27" s="38">
        <f>IF(B27="Winter",'Practice Allocations'!J11,'Practice Allocations'!G11)</f>
        <v>1361.6768</v>
      </c>
      <c r="L27" s="13" t="str">
        <f t="shared" si="1"/>
        <v>RED</v>
      </c>
    </row>
    <row r="28" spans="1:12" ht="18" customHeight="1" x14ac:dyDescent="0.25">
      <c r="A28" s="26">
        <v>25</v>
      </c>
      <c r="B28" s="64" t="s">
        <v>169</v>
      </c>
      <c r="C28" s="60"/>
      <c r="D28" s="60"/>
      <c r="E28" s="60"/>
      <c r="F28" s="60"/>
      <c r="G28" s="60"/>
      <c r="H28" s="60"/>
      <c r="I28" s="60"/>
      <c r="J28" s="57">
        <f t="shared" si="0"/>
        <v>0</v>
      </c>
      <c r="K28" s="38">
        <f>IF(B28="Winter",'Practice Allocations'!J11,'Practice Allocations'!G11)</f>
        <v>1361.6768</v>
      </c>
      <c r="L28" s="13" t="str">
        <f t="shared" si="1"/>
        <v>RED</v>
      </c>
    </row>
    <row r="29" spans="1:12" ht="18" customHeight="1" x14ac:dyDescent="0.25">
      <c r="A29" s="26">
        <v>26</v>
      </c>
      <c r="B29" s="64" t="s">
        <v>169</v>
      </c>
      <c r="C29" s="60"/>
      <c r="D29" s="60"/>
      <c r="E29" s="60"/>
      <c r="F29" s="60"/>
      <c r="G29" s="60"/>
      <c r="H29" s="60"/>
      <c r="I29" s="60"/>
      <c r="J29" s="57">
        <f t="shared" si="0"/>
        <v>0</v>
      </c>
      <c r="K29" s="38">
        <f>IF(B29="Winter",'Practice Allocations'!J11,'Practice Allocations'!G11)</f>
        <v>1361.6768</v>
      </c>
      <c r="L29" s="13" t="str">
        <f t="shared" si="1"/>
        <v>RED</v>
      </c>
    </row>
    <row r="30" spans="1:12" ht="18" customHeight="1" x14ac:dyDescent="0.25">
      <c r="A30" s="26">
        <v>27</v>
      </c>
      <c r="B30" s="64" t="s">
        <v>169</v>
      </c>
      <c r="C30" s="60"/>
      <c r="D30" s="60"/>
      <c r="E30" s="60"/>
      <c r="F30" s="60"/>
      <c r="G30" s="60"/>
      <c r="H30" s="60"/>
      <c r="I30" s="60"/>
      <c r="J30" s="57">
        <f t="shared" si="0"/>
        <v>0</v>
      </c>
      <c r="K30" s="38">
        <f>IF(B30="Winter",'Practice Allocations'!J11,'Practice Allocations'!G11)</f>
        <v>1361.6768</v>
      </c>
      <c r="L30" s="13" t="str">
        <f t="shared" si="1"/>
        <v>RED</v>
      </c>
    </row>
    <row r="31" spans="1:12" ht="18" customHeight="1" x14ac:dyDescent="0.25">
      <c r="A31" s="26">
        <v>28</v>
      </c>
      <c r="B31" s="64" t="s">
        <v>169</v>
      </c>
      <c r="C31" s="60"/>
      <c r="D31" s="60"/>
      <c r="E31" s="60"/>
      <c r="F31" s="60"/>
      <c r="G31" s="60"/>
      <c r="H31" s="60"/>
      <c r="I31" s="60"/>
      <c r="J31" s="57">
        <f t="shared" si="0"/>
        <v>0</v>
      </c>
      <c r="K31" s="38">
        <f>IF(B31="Winter",'Practice Allocations'!J11,'Practice Allocations'!G11)</f>
        <v>1361.6768</v>
      </c>
      <c r="L31" s="13" t="str">
        <f t="shared" si="1"/>
        <v>RED</v>
      </c>
    </row>
    <row r="32" spans="1:12" ht="18" customHeight="1" x14ac:dyDescent="0.25">
      <c r="A32" s="26">
        <v>29</v>
      </c>
      <c r="B32" s="64" t="s">
        <v>169</v>
      </c>
      <c r="C32" s="60"/>
      <c r="D32" s="60"/>
      <c r="E32" s="60"/>
      <c r="F32" s="60"/>
      <c r="G32" s="60"/>
      <c r="H32" s="60"/>
      <c r="I32" s="60"/>
      <c r="J32" s="57">
        <f t="shared" si="0"/>
        <v>0</v>
      </c>
      <c r="K32" s="38">
        <f>IF(B32="Winter",'Practice Allocations'!J11,'Practice Allocations'!G11)</f>
        <v>1361.6768</v>
      </c>
      <c r="L32" s="13" t="str">
        <f t="shared" si="1"/>
        <v>RED</v>
      </c>
    </row>
    <row r="33" spans="1:12" ht="18" customHeight="1" x14ac:dyDescent="0.25">
      <c r="A33" s="26">
        <v>30</v>
      </c>
      <c r="B33" s="64" t="s">
        <v>169</v>
      </c>
      <c r="C33" s="60"/>
      <c r="D33" s="60"/>
      <c r="E33" s="60"/>
      <c r="F33" s="60"/>
      <c r="G33" s="60"/>
      <c r="H33" s="60"/>
      <c r="I33" s="60"/>
      <c r="J33" s="57">
        <f t="shared" si="0"/>
        <v>0</v>
      </c>
      <c r="K33" s="38">
        <f>IF(B33="Winter",'Practice Allocations'!J11,'Practice Allocations'!G11)</f>
        <v>1361.6768</v>
      </c>
      <c r="L33" s="13" t="str">
        <f t="shared" si="1"/>
        <v>RED</v>
      </c>
    </row>
    <row r="34" spans="1:12" ht="18" customHeight="1" x14ac:dyDescent="0.25">
      <c r="A34" s="26">
        <v>31</v>
      </c>
      <c r="B34" s="64" t="s">
        <v>169</v>
      </c>
      <c r="C34" s="60"/>
      <c r="D34" s="60"/>
      <c r="E34" s="60"/>
      <c r="F34" s="60"/>
      <c r="G34" s="60"/>
      <c r="H34" s="60"/>
      <c r="I34" s="60"/>
      <c r="J34" s="57">
        <f t="shared" si="0"/>
        <v>0</v>
      </c>
      <c r="K34" s="38">
        <f>IF(B34="Winter",'Practice Allocations'!J11,'Practice Allocations'!G11)</f>
        <v>1361.6768</v>
      </c>
      <c r="L34" s="13" t="str">
        <f t="shared" si="1"/>
        <v>RED</v>
      </c>
    </row>
    <row r="35" spans="1:12" ht="18" customHeight="1" x14ac:dyDescent="0.25">
      <c r="A35" s="26">
        <v>32</v>
      </c>
      <c r="B35" s="64" t="s">
        <v>169</v>
      </c>
      <c r="C35" s="60"/>
      <c r="D35" s="60"/>
      <c r="E35" s="60"/>
      <c r="F35" s="60"/>
      <c r="G35" s="60"/>
      <c r="H35" s="60"/>
      <c r="I35" s="60"/>
      <c r="J35" s="57">
        <f t="shared" si="0"/>
        <v>0</v>
      </c>
      <c r="K35" s="38">
        <f>IF(B35="Winter",'Practice Allocations'!J11,'Practice Allocations'!G11)</f>
        <v>1361.6768</v>
      </c>
      <c r="L35" s="13" t="str">
        <f t="shared" si="1"/>
        <v>RED</v>
      </c>
    </row>
    <row r="36" spans="1:12" ht="18" customHeight="1" x14ac:dyDescent="0.25">
      <c r="A36" s="26">
        <v>33</v>
      </c>
      <c r="B36" s="64" t="s">
        <v>169</v>
      </c>
      <c r="C36" s="60"/>
      <c r="D36" s="60"/>
      <c r="E36" s="60"/>
      <c r="F36" s="60"/>
      <c r="G36" s="60"/>
      <c r="H36" s="60"/>
      <c r="I36" s="60"/>
      <c r="J36" s="57">
        <f t="shared" ref="J36:J67" si="2">SUM(C36:I36)</f>
        <v>0</v>
      </c>
      <c r="K36" s="38">
        <f>IF(B36="Winter",'Practice Allocations'!J11,'Practice Allocations'!G11)</f>
        <v>1361.6768</v>
      </c>
      <c r="L36" s="13" t="str">
        <f t="shared" ref="L36:L67" si="3">IF(J36="","",IF(J36&gt;=K36,"GREEN",IF(J36&gt;=K36*0.8,"AMBER","RED")))</f>
        <v>RED</v>
      </c>
    </row>
    <row r="37" spans="1:12" ht="18" customHeight="1" x14ac:dyDescent="0.25">
      <c r="A37" s="26">
        <v>34</v>
      </c>
      <c r="B37" s="64" t="s">
        <v>169</v>
      </c>
      <c r="C37" s="60"/>
      <c r="D37" s="60"/>
      <c r="E37" s="60"/>
      <c r="F37" s="60"/>
      <c r="G37" s="60"/>
      <c r="H37" s="60"/>
      <c r="I37" s="60"/>
      <c r="J37" s="57">
        <f t="shared" si="2"/>
        <v>0</v>
      </c>
      <c r="K37" s="38">
        <f>IF(B37="Winter",'Practice Allocations'!J11,'Practice Allocations'!G11)</f>
        <v>1361.6768</v>
      </c>
      <c r="L37" s="13" t="str">
        <f t="shared" si="3"/>
        <v>RED</v>
      </c>
    </row>
    <row r="38" spans="1:12" ht="18" customHeight="1" x14ac:dyDescent="0.25">
      <c r="A38" s="26">
        <v>35</v>
      </c>
      <c r="B38" s="64" t="s">
        <v>169</v>
      </c>
      <c r="C38" s="60"/>
      <c r="D38" s="60"/>
      <c r="E38" s="60"/>
      <c r="F38" s="60"/>
      <c r="G38" s="60"/>
      <c r="H38" s="60"/>
      <c r="I38" s="60"/>
      <c r="J38" s="57">
        <f t="shared" si="2"/>
        <v>0</v>
      </c>
      <c r="K38" s="38">
        <f>IF(B38="Winter",'Practice Allocations'!J11,'Practice Allocations'!G11)</f>
        <v>1361.6768</v>
      </c>
      <c r="L38" s="13" t="str">
        <f t="shared" si="3"/>
        <v>RED</v>
      </c>
    </row>
    <row r="39" spans="1:12" ht="18" customHeight="1" x14ac:dyDescent="0.25">
      <c r="A39" s="26">
        <v>36</v>
      </c>
      <c r="B39" s="64" t="s">
        <v>169</v>
      </c>
      <c r="C39" s="60"/>
      <c r="D39" s="60"/>
      <c r="E39" s="60"/>
      <c r="F39" s="60"/>
      <c r="G39" s="60"/>
      <c r="H39" s="60"/>
      <c r="I39" s="60"/>
      <c r="J39" s="57">
        <f t="shared" si="2"/>
        <v>0</v>
      </c>
      <c r="K39" s="38">
        <f>IF(B39="Winter",'Practice Allocations'!J11,'Practice Allocations'!G11)</f>
        <v>1361.6768</v>
      </c>
      <c r="L39" s="13" t="str">
        <f t="shared" si="3"/>
        <v>RED</v>
      </c>
    </row>
    <row r="40" spans="1:12" ht="18" customHeight="1" x14ac:dyDescent="0.25">
      <c r="A40" s="26">
        <v>37</v>
      </c>
      <c r="B40" s="64" t="s">
        <v>169</v>
      </c>
      <c r="C40" s="60"/>
      <c r="D40" s="60"/>
      <c r="E40" s="60"/>
      <c r="F40" s="60"/>
      <c r="G40" s="60"/>
      <c r="H40" s="60"/>
      <c r="I40" s="60"/>
      <c r="J40" s="57">
        <f t="shared" si="2"/>
        <v>0</v>
      </c>
      <c r="K40" s="38">
        <f>IF(B40="Winter",'Practice Allocations'!J11,'Practice Allocations'!G11)</f>
        <v>1361.6768</v>
      </c>
      <c r="L40" s="13" t="str">
        <f t="shared" si="3"/>
        <v>RED</v>
      </c>
    </row>
    <row r="41" spans="1:12" ht="18" customHeight="1" x14ac:dyDescent="0.25">
      <c r="A41" s="26">
        <v>38</v>
      </c>
      <c r="B41" s="64" t="s">
        <v>169</v>
      </c>
      <c r="C41" s="60"/>
      <c r="D41" s="60"/>
      <c r="E41" s="60"/>
      <c r="F41" s="60"/>
      <c r="G41" s="60"/>
      <c r="H41" s="60"/>
      <c r="I41" s="60"/>
      <c r="J41" s="57">
        <f t="shared" si="2"/>
        <v>0</v>
      </c>
      <c r="K41" s="38">
        <f>IF(B41="Winter",'Practice Allocations'!J11,'Practice Allocations'!G11)</f>
        <v>1361.6768</v>
      </c>
      <c r="L41" s="13" t="str">
        <f t="shared" si="3"/>
        <v>RED</v>
      </c>
    </row>
    <row r="42" spans="1:12" ht="18" customHeight="1" x14ac:dyDescent="0.25">
      <c r="A42" s="26">
        <v>39</v>
      </c>
      <c r="B42" s="64" t="s">
        <v>169</v>
      </c>
      <c r="C42" s="60"/>
      <c r="D42" s="60"/>
      <c r="E42" s="60"/>
      <c r="F42" s="60"/>
      <c r="G42" s="60"/>
      <c r="H42" s="60"/>
      <c r="I42" s="60"/>
      <c r="J42" s="57">
        <f t="shared" si="2"/>
        <v>0</v>
      </c>
      <c r="K42" s="38">
        <f>IF(B42="Winter",'Practice Allocations'!J11,'Practice Allocations'!G11)</f>
        <v>1361.6768</v>
      </c>
      <c r="L42" s="13" t="str">
        <f t="shared" si="3"/>
        <v>RED</v>
      </c>
    </row>
    <row r="43" spans="1:12" ht="18" customHeight="1" x14ac:dyDescent="0.25">
      <c r="A43" s="26">
        <v>40</v>
      </c>
      <c r="B43" s="64" t="s">
        <v>169</v>
      </c>
      <c r="C43" s="60"/>
      <c r="D43" s="60"/>
      <c r="E43" s="60"/>
      <c r="F43" s="60"/>
      <c r="G43" s="60"/>
      <c r="H43" s="60"/>
      <c r="I43" s="60"/>
      <c r="J43" s="57">
        <f t="shared" si="2"/>
        <v>0</v>
      </c>
      <c r="K43" s="38">
        <f>IF(B43="Winter",'Practice Allocations'!J11,'Practice Allocations'!G11)</f>
        <v>1361.6768</v>
      </c>
      <c r="L43" s="13" t="str">
        <f t="shared" si="3"/>
        <v>RED</v>
      </c>
    </row>
    <row r="44" spans="1:12" ht="18" customHeight="1" x14ac:dyDescent="0.25">
      <c r="A44" s="26">
        <v>41</v>
      </c>
      <c r="B44" s="64" t="s">
        <v>169</v>
      </c>
      <c r="C44" s="60"/>
      <c r="D44" s="60"/>
      <c r="E44" s="60"/>
      <c r="F44" s="60"/>
      <c r="G44" s="60"/>
      <c r="H44" s="60"/>
      <c r="I44" s="60"/>
      <c r="J44" s="57">
        <f t="shared" si="2"/>
        <v>0</v>
      </c>
      <c r="K44" s="38">
        <f>IF(B44="Winter",'Practice Allocations'!J11,'Practice Allocations'!G11)</f>
        <v>1361.6768</v>
      </c>
      <c r="L44" s="13" t="str">
        <f t="shared" si="3"/>
        <v>RED</v>
      </c>
    </row>
    <row r="45" spans="1:12" ht="18" customHeight="1" x14ac:dyDescent="0.25">
      <c r="A45" s="26">
        <v>42</v>
      </c>
      <c r="B45" s="64" t="s">
        <v>169</v>
      </c>
      <c r="C45" s="60"/>
      <c r="D45" s="60"/>
      <c r="E45" s="60"/>
      <c r="F45" s="60"/>
      <c r="G45" s="60"/>
      <c r="H45" s="60"/>
      <c r="I45" s="60"/>
      <c r="J45" s="57">
        <f t="shared" si="2"/>
        <v>0</v>
      </c>
      <c r="K45" s="38">
        <f>IF(B45="Winter",'Practice Allocations'!J11,'Practice Allocations'!G11)</f>
        <v>1361.6768</v>
      </c>
      <c r="L45" s="13" t="str">
        <f t="shared" si="3"/>
        <v>RED</v>
      </c>
    </row>
    <row r="46" spans="1:12" ht="18" customHeight="1" x14ac:dyDescent="0.25">
      <c r="A46" s="26">
        <v>43</v>
      </c>
      <c r="B46" s="64" t="s">
        <v>169</v>
      </c>
      <c r="C46" s="60"/>
      <c r="D46" s="60"/>
      <c r="E46" s="60"/>
      <c r="F46" s="60"/>
      <c r="G46" s="60"/>
      <c r="H46" s="60"/>
      <c r="I46" s="60"/>
      <c r="J46" s="57">
        <f t="shared" si="2"/>
        <v>0</v>
      </c>
      <c r="K46" s="38">
        <f>IF(B46="Winter",'Practice Allocations'!J11,'Practice Allocations'!G11)</f>
        <v>1361.6768</v>
      </c>
      <c r="L46" s="13" t="str">
        <f t="shared" si="3"/>
        <v>RED</v>
      </c>
    </row>
    <row r="47" spans="1:12" ht="18" customHeight="1" x14ac:dyDescent="0.25">
      <c r="A47" s="26">
        <v>44</v>
      </c>
      <c r="B47" s="63" t="s">
        <v>277</v>
      </c>
      <c r="C47" s="60"/>
      <c r="D47" s="60"/>
      <c r="E47" s="60"/>
      <c r="F47" s="60"/>
      <c r="G47" s="60"/>
      <c r="H47" s="60"/>
      <c r="I47" s="60"/>
      <c r="J47" s="57">
        <f t="shared" si="2"/>
        <v>0</v>
      </c>
      <c r="K47" s="38">
        <f>IF(B47="Winter",'Practice Allocations'!J11,'Practice Allocations'!G11)</f>
        <v>1630.4288000000001</v>
      </c>
      <c r="L47" s="13" t="str">
        <f t="shared" si="3"/>
        <v>RED</v>
      </c>
    </row>
    <row r="48" spans="1:12" ht="18" customHeight="1" x14ac:dyDescent="0.25">
      <c r="A48" s="26">
        <v>45</v>
      </c>
      <c r="B48" s="63" t="s">
        <v>277</v>
      </c>
      <c r="C48" s="60"/>
      <c r="D48" s="60"/>
      <c r="E48" s="60"/>
      <c r="F48" s="60"/>
      <c r="G48" s="60"/>
      <c r="H48" s="60"/>
      <c r="I48" s="60"/>
      <c r="J48" s="57">
        <f t="shared" si="2"/>
        <v>0</v>
      </c>
      <c r="K48" s="38">
        <f>IF(B48="Winter",'Practice Allocations'!J11,'Practice Allocations'!G11)</f>
        <v>1630.4288000000001</v>
      </c>
      <c r="L48" s="13" t="str">
        <f t="shared" si="3"/>
        <v>RED</v>
      </c>
    </row>
    <row r="49" spans="1:12" ht="18" customHeight="1" x14ac:dyDescent="0.25">
      <c r="A49" s="26">
        <v>46</v>
      </c>
      <c r="B49" s="63" t="s">
        <v>277</v>
      </c>
      <c r="C49" s="60"/>
      <c r="D49" s="60"/>
      <c r="E49" s="60"/>
      <c r="F49" s="60"/>
      <c r="G49" s="60"/>
      <c r="H49" s="60"/>
      <c r="I49" s="60"/>
      <c r="J49" s="57">
        <f t="shared" si="2"/>
        <v>0</v>
      </c>
      <c r="K49" s="38">
        <f>IF(B49="Winter",'Practice Allocations'!J11,'Practice Allocations'!G11)</f>
        <v>1630.4288000000001</v>
      </c>
      <c r="L49" s="13" t="str">
        <f t="shared" si="3"/>
        <v>RED</v>
      </c>
    </row>
    <row r="50" spans="1:12" ht="18" customHeight="1" x14ac:dyDescent="0.25">
      <c r="A50" s="26">
        <v>47</v>
      </c>
      <c r="B50" s="63" t="s">
        <v>277</v>
      </c>
      <c r="C50" s="60"/>
      <c r="D50" s="60"/>
      <c r="E50" s="60"/>
      <c r="F50" s="60"/>
      <c r="G50" s="60"/>
      <c r="H50" s="60"/>
      <c r="I50" s="60"/>
      <c r="J50" s="57">
        <f t="shared" si="2"/>
        <v>0</v>
      </c>
      <c r="K50" s="38">
        <f>IF(B50="Winter",'Practice Allocations'!J11,'Practice Allocations'!G11)</f>
        <v>1630.4288000000001</v>
      </c>
      <c r="L50" s="13" t="str">
        <f t="shared" si="3"/>
        <v>RED</v>
      </c>
    </row>
    <row r="51" spans="1:12" ht="18" customHeight="1" x14ac:dyDescent="0.25">
      <c r="A51" s="26">
        <v>48</v>
      </c>
      <c r="B51" s="63" t="s">
        <v>277</v>
      </c>
      <c r="C51" s="60"/>
      <c r="D51" s="60"/>
      <c r="E51" s="60"/>
      <c r="F51" s="60"/>
      <c r="G51" s="60"/>
      <c r="H51" s="60"/>
      <c r="I51" s="60"/>
      <c r="J51" s="57">
        <f t="shared" si="2"/>
        <v>0</v>
      </c>
      <c r="K51" s="38">
        <f>IF(B51="Winter",'Practice Allocations'!J11,'Practice Allocations'!G11)</f>
        <v>1630.4288000000001</v>
      </c>
      <c r="L51" s="13" t="str">
        <f t="shared" si="3"/>
        <v>RED</v>
      </c>
    </row>
    <row r="52" spans="1:12" ht="18" customHeight="1" x14ac:dyDescent="0.25">
      <c r="A52" s="26">
        <v>49</v>
      </c>
      <c r="B52" s="63" t="s">
        <v>277</v>
      </c>
      <c r="C52" s="60"/>
      <c r="D52" s="60"/>
      <c r="E52" s="60"/>
      <c r="F52" s="60"/>
      <c r="G52" s="60"/>
      <c r="H52" s="60"/>
      <c r="I52" s="60"/>
      <c r="J52" s="57">
        <f t="shared" si="2"/>
        <v>0</v>
      </c>
      <c r="K52" s="38">
        <f>IF(B52="Winter",'Practice Allocations'!J11,'Practice Allocations'!G11)</f>
        <v>1630.4288000000001</v>
      </c>
      <c r="L52" s="13" t="str">
        <f t="shared" si="3"/>
        <v>RED</v>
      </c>
    </row>
    <row r="53" spans="1:12" ht="18" customHeight="1" x14ac:dyDescent="0.25">
      <c r="A53" s="26">
        <v>50</v>
      </c>
      <c r="B53" s="63" t="s">
        <v>277</v>
      </c>
      <c r="C53" s="60"/>
      <c r="D53" s="60"/>
      <c r="E53" s="60"/>
      <c r="F53" s="60"/>
      <c r="G53" s="60"/>
      <c r="H53" s="60"/>
      <c r="I53" s="60"/>
      <c r="J53" s="57">
        <f t="shared" si="2"/>
        <v>0</v>
      </c>
      <c r="K53" s="38">
        <f>IF(B53="Winter",'Practice Allocations'!J11,'Practice Allocations'!G11)</f>
        <v>1630.4288000000001</v>
      </c>
      <c r="L53" s="13" t="str">
        <f t="shared" si="3"/>
        <v>RED</v>
      </c>
    </row>
    <row r="54" spans="1:12" ht="18" customHeight="1" x14ac:dyDescent="0.25">
      <c r="A54" s="26">
        <v>51</v>
      </c>
      <c r="B54" s="63" t="s">
        <v>277</v>
      </c>
      <c r="C54" s="60"/>
      <c r="D54" s="60"/>
      <c r="E54" s="60"/>
      <c r="F54" s="60"/>
      <c r="G54" s="60"/>
      <c r="H54" s="60"/>
      <c r="I54" s="60"/>
      <c r="J54" s="57">
        <f t="shared" si="2"/>
        <v>0</v>
      </c>
      <c r="K54" s="38">
        <f>IF(B54="Winter",'Practice Allocations'!J11,'Practice Allocations'!G11)</f>
        <v>1630.4288000000001</v>
      </c>
      <c r="L54" s="13" t="str">
        <f t="shared" si="3"/>
        <v>RED</v>
      </c>
    </row>
    <row r="55" spans="1:12" ht="18" customHeight="1" x14ac:dyDescent="0.25">
      <c r="A55" s="26">
        <v>52</v>
      </c>
      <c r="B55" s="63" t="s">
        <v>277</v>
      </c>
      <c r="C55" s="60"/>
      <c r="D55" s="60"/>
      <c r="E55" s="60"/>
      <c r="F55" s="60"/>
      <c r="G55" s="60"/>
      <c r="H55" s="60"/>
      <c r="I55" s="60"/>
      <c r="J55" s="57">
        <f t="shared" si="2"/>
        <v>0</v>
      </c>
      <c r="K55" s="38">
        <f>IF(B55="Winter",'Practice Allocations'!J11,'Practice Allocations'!G11)</f>
        <v>1630.4288000000001</v>
      </c>
      <c r="L55" s="13" t="str">
        <f t="shared" si="3"/>
        <v>RED</v>
      </c>
    </row>
  </sheetData>
  <mergeCells count="2">
    <mergeCell ref="A1:L1"/>
    <mergeCell ref="A2:L2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E50"/>
  </sheetPr>
  <dimension ref="A1:L3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28" customWidth="1"/>
    <col min="2" max="12" width="18" customWidth="1"/>
  </cols>
  <sheetData>
    <row r="1" spans="1:12" ht="27.75" customHeight="1" x14ac:dyDescent="0.25">
      <c r="A1" s="11" t="s">
        <v>278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 ht="30" customHeight="1" x14ac:dyDescent="0.25">
      <c r="A3" s="12" t="s">
        <v>173</v>
      </c>
      <c r="B3" s="12" t="s">
        <v>72</v>
      </c>
      <c r="C3" s="12" t="s">
        <v>279</v>
      </c>
      <c r="D3" s="12" t="s">
        <v>280</v>
      </c>
      <c r="E3" s="12" t="s">
        <v>196</v>
      </c>
      <c r="F3" s="12" t="s">
        <v>281</v>
      </c>
      <c r="G3" s="12" t="s">
        <v>198</v>
      </c>
      <c r="H3" s="12" t="s">
        <v>282</v>
      </c>
      <c r="I3" s="12" t="s">
        <v>283</v>
      </c>
      <c r="J3" s="12" t="s">
        <v>284</v>
      </c>
      <c r="K3" s="12" t="s">
        <v>285</v>
      </c>
      <c r="L3" s="12" t="s">
        <v>179</v>
      </c>
    </row>
    <row r="4" spans="1:12" ht="18" customHeight="1" x14ac:dyDescent="0.25">
      <c r="A4" s="15"/>
      <c r="B4" s="15"/>
      <c r="C4" s="15"/>
      <c r="D4" s="15"/>
      <c r="E4" s="60"/>
      <c r="F4" s="61"/>
      <c r="G4" s="36" t="str">
        <f t="shared" ref="G4:G33" si="0">IF(E4="","",E4*F4)</f>
        <v/>
      </c>
      <c r="H4" s="36" t="str">
        <f>IF(G4="","",G4*Assumptions!B17)</f>
        <v/>
      </c>
      <c r="I4" s="33" t="str">
        <f t="shared" ref="I4:I33" si="1">IF(G4="","",G4+H4)</f>
        <v/>
      </c>
      <c r="J4" s="15"/>
      <c r="K4" s="15"/>
      <c r="L4" s="15"/>
    </row>
    <row r="5" spans="1:12" ht="18" customHeight="1" x14ac:dyDescent="0.25">
      <c r="A5" s="55"/>
      <c r="B5" s="55"/>
      <c r="C5" s="55"/>
      <c r="D5" s="55"/>
      <c r="E5" s="60"/>
      <c r="F5" s="61"/>
      <c r="G5" s="36" t="str">
        <f t="shared" si="0"/>
        <v/>
      </c>
      <c r="H5" s="36" t="str">
        <f>IF(G5="","",G5*Assumptions!B17)</f>
        <v/>
      </c>
      <c r="I5" s="33" t="str">
        <f t="shared" si="1"/>
        <v/>
      </c>
      <c r="J5" s="55"/>
      <c r="K5" s="55"/>
      <c r="L5" s="55"/>
    </row>
    <row r="6" spans="1:12" ht="18" customHeight="1" x14ac:dyDescent="0.25">
      <c r="A6" s="15"/>
      <c r="B6" s="15"/>
      <c r="C6" s="15"/>
      <c r="D6" s="15"/>
      <c r="E6" s="60"/>
      <c r="F6" s="61"/>
      <c r="G6" s="36" t="str">
        <f t="shared" si="0"/>
        <v/>
      </c>
      <c r="H6" s="36" t="str">
        <f>IF(G6="","",G6*Assumptions!B17)</f>
        <v/>
      </c>
      <c r="I6" s="33" t="str">
        <f t="shared" si="1"/>
        <v/>
      </c>
      <c r="J6" s="15"/>
      <c r="K6" s="15"/>
      <c r="L6" s="15"/>
    </row>
    <row r="7" spans="1:12" ht="18" customHeight="1" x14ac:dyDescent="0.25">
      <c r="A7" s="55"/>
      <c r="B7" s="55"/>
      <c r="C7" s="55"/>
      <c r="D7" s="55"/>
      <c r="E7" s="60"/>
      <c r="F7" s="61"/>
      <c r="G7" s="36" t="str">
        <f t="shared" si="0"/>
        <v/>
      </c>
      <c r="H7" s="36" t="str">
        <f>IF(G7="","",G7*Assumptions!B17)</f>
        <v/>
      </c>
      <c r="I7" s="33" t="str">
        <f t="shared" si="1"/>
        <v/>
      </c>
      <c r="J7" s="55"/>
      <c r="K7" s="55"/>
      <c r="L7" s="55"/>
    </row>
    <row r="8" spans="1:12" ht="18" customHeight="1" x14ac:dyDescent="0.25">
      <c r="A8" s="15"/>
      <c r="B8" s="15"/>
      <c r="C8" s="15"/>
      <c r="D8" s="15"/>
      <c r="E8" s="60"/>
      <c r="F8" s="61"/>
      <c r="G8" s="36" t="str">
        <f t="shared" si="0"/>
        <v/>
      </c>
      <c r="H8" s="36" t="str">
        <f>IF(G8="","",G8*Assumptions!B17)</f>
        <v/>
      </c>
      <c r="I8" s="33" t="str">
        <f t="shared" si="1"/>
        <v/>
      </c>
      <c r="J8" s="15"/>
      <c r="K8" s="15"/>
      <c r="L8" s="15"/>
    </row>
    <row r="9" spans="1:12" ht="18" customHeight="1" x14ac:dyDescent="0.25">
      <c r="A9" s="55"/>
      <c r="B9" s="55"/>
      <c r="C9" s="55"/>
      <c r="D9" s="55"/>
      <c r="E9" s="60"/>
      <c r="F9" s="61"/>
      <c r="G9" s="36" t="str">
        <f t="shared" si="0"/>
        <v/>
      </c>
      <c r="H9" s="36" t="str">
        <f>IF(G9="","",G9*Assumptions!B17)</f>
        <v/>
      </c>
      <c r="I9" s="33" t="str">
        <f t="shared" si="1"/>
        <v/>
      </c>
      <c r="J9" s="55"/>
      <c r="K9" s="55"/>
      <c r="L9" s="55"/>
    </row>
    <row r="10" spans="1:12" ht="18" customHeight="1" x14ac:dyDescent="0.25">
      <c r="A10" s="15"/>
      <c r="B10" s="15"/>
      <c r="C10" s="15"/>
      <c r="D10" s="15"/>
      <c r="E10" s="60"/>
      <c r="F10" s="61"/>
      <c r="G10" s="36" t="str">
        <f t="shared" si="0"/>
        <v/>
      </c>
      <c r="H10" s="36" t="str">
        <f>IF(G10="","",G10*Assumptions!B17)</f>
        <v/>
      </c>
      <c r="I10" s="33" t="str">
        <f t="shared" si="1"/>
        <v/>
      </c>
      <c r="J10" s="15"/>
      <c r="K10" s="15"/>
      <c r="L10" s="15"/>
    </row>
    <row r="11" spans="1:12" ht="18" customHeight="1" x14ac:dyDescent="0.25">
      <c r="A11" s="55"/>
      <c r="B11" s="55"/>
      <c r="C11" s="55"/>
      <c r="D11" s="55"/>
      <c r="E11" s="60"/>
      <c r="F11" s="61"/>
      <c r="G11" s="36" t="str">
        <f t="shared" si="0"/>
        <v/>
      </c>
      <c r="H11" s="36" t="str">
        <f>IF(G11="","",G11*Assumptions!B17)</f>
        <v/>
      </c>
      <c r="I11" s="33" t="str">
        <f t="shared" si="1"/>
        <v/>
      </c>
      <c r="J11" s="55"/>
      <c r="K11" s="55"/>
      <c r="L11" s="55"/>
    </row>
    <row r="12" spans="1:12" ht="18" customHeight="1" x14ac:dyDescent="0.25">
      <c r="A12" s="15"/>
      <c r="B12" s="15"/>
      <c r="C12" s="15"/>
      <c r="D12" s="15"/>
      <c r="E12" s="60"/>
      <c r="F12" s="61"/>
      <c r="G12" s="36" t="str">
        <f t="shared" si="0"/>
        <v/>
      </c>
      <c r="H12" s="36" t="str">
        <f>IF(G12="","",G12*Assumptions!B17)</f>
        <v/>
      </c>
      <c r="I12" s="33" t="str">
        <f t="shared" si="1"/>
        <v/>
      </c>
      <c r="J12" s="15"/>
      <c r="K12" s="15"/>
      <c r="L12" s="15"/>
    </row>
    <row r="13" spans="1:12" ht="18" customHeight="1" x14ac:dyDescent="0.25">
      <c r="A13" s="55"/>
      <c r="B13" s="55"/>
      <c r="C13" s="55"/>
      <c r="D13" s="55"/>
      <c r="E13" s="60"/>
      <c r="F13" s="61"/>
      <c r="G13" s="36" t="str">
        <f t="shared" si="0"/>
        <v/>
      </c>
      <c r="H13" s="36" t="str">
        <f>IF(G13="","",G13*Assumptions!B17)</f>
        <v/>
      </c>
      <c r="I13" s="33" t="str">
        <f t="shared" si="1"/>
        <v/>
      </c>
      <c r="J13" s="55"/>
      <c r="K13" s="55"/>
      <c r="L13" s="55"/>
    </row>
    <row r="14" spans="1:12" ht="18" customHeight="1" x14ac:dyDescent="0.25">
      <c r="A14" s="15"/>
      <c r="B14" s="15"/>
      <c r="C14" s="15"/>
      <c r="D14" s="15"/>
      <c r="E14" s="60"/>
      <c r="F14" s="61"/>
      <c r="G14" s="36" t="str">
        <f t="shared" si="0"/>
        <v/>
      </c>
      <c r="H14" s="36" t="str">
        <f>IF(G14="","",G14*Assumptions!B17)</f>
        <v/>
      </c>
      <c r="I14" s="33" t="str">
        <f t="shared" si="1"/>
        <v/>
      </c>
      <c r="J14" s="15"/>
      <c r="K14" s="15"/>
      <c r="L14" s="15"/>
    </row>
    <row r="15" spans="1:12" ht="18" customHeight="1" x14ac:dyDescent="0.25">
      <c r="A15" s="55"/>
      <c r="B15" s="55"/>
      <c r="C15" s="55"/>
      <c r="D15" s="55"/>
      <c r="E15" s="60"/>
      <c r="F15" s="61"/>
      <c r="G15" s="36" t="str">
        <f t="shared" si="0"/>
        <v/>
      </c>
      <c r="H15" s="36" t="str">
        <f>IF(G15="","",G15*Assumptions!B17)</f>
        <v/>
      </c>
      <c r="I15" s="33" t="str">
        <f t="shared" si="1"/>
        <v/>
      </c>
      <c r="J15" s="55"/>
      <c r="K15" s="55"/>
      <c r="L15" s="55"/>
    </row>
    <row r="16" spans="1:12" ht="18" customHeight="1" x14ac:dyDescent="0.25">
      <c r="A16" s="15"/>
      <c r="B16" s="15"/>
      <c r="C16" s="15"/>
      <c r="D16" s="15"/>
      <c r="E16" s="60"/>
      <c r="F16" s="61"/>
      <c r="G16" s="36" t="str">
        <f t="shared" si="0"/>
        <v/>
      </c>
      <c r="H16" s="36" t="str">
        <f>IF(G16="","",G16*Assumptions!B17)</f>
        <v/>
      </c>
      <c r="I16" s="33" t="str">
        <f t="shared" si="1"/>
        <v/>
      </c>
      <c r="J16" s="15"/>
      <c r="K16" s="15"/>
      <c r="L16" s="15"/>
    </row>
    <row r="17" spans="1:12" ht="18" customHeight="1" x14ac:dyDescent="0.25">
      <c r="A17" s="55"/>
      <c r="B17" s="55"/>
      <c r="C17" s="55"/>
      <c r="D17" s="55"/>
      <c r="E17" s="60"/>
      <c r="F17" s="61"/>
      <c r="G17" s="36" t="str">
        <f t="shared" si="0"/>
        <v/>
      </c>
      <c r="H17" s="36" t="str">
        <f>IF(G17="","",G17*Assumptions!B17)</f>
        <v/>
      </c>
      <c r="I17" s="33" t="str">
        <f t="shared" si="1"/>
        <v/>
      </c>
      <c r="J17" s="55"/>
      <c r="K17" s="55"/>
      <c r="L17" s="55"/>
    </row>
    <row r="18" spans="1:12" ht="18" customHeight="1" x14ac:dyDescent="0.25">
      <c r="A18" s="15"/>
      <c r="B18" s="15"/>
      <c r="C18" s="15"/>
      <c r="D18" s="15"/>
      <c r="E18" s="60"/>
      <c r="F18" s="61"/>
      <c r="G18" s="36" t="str">
        <f t="shared" si="0"/>
        <v/>
      </c>
      <c r="H18" s="36" t="str">
        <f>IF(G18="","",G18*Assumptions!B17)</f>
        <v/>
      </c>
      <c r="I18" s="33" t="str">
        <f t="shared" si="1"/>
        <v/>
      </c>
      <c r="J18" s="15"/>
      <c r="K18" s="15"/>
      <c r="L18" s="15"/>
    </row>
    <row r="19" spans="1:12" ht="18" customHeight="1" x14ac:dyDescent="0.25">
      <c r="A19" s="55"/>
      <c r="B19" s="55"/>
      <c r="C19" s="55"/>
      <c r="D19" s="55"/>
      <c r="E19" s="60"/>
      <c r="F19" s="61"/>
      <c r="G19" s="36" t="str">
        <f t="shared" si="0"/>
        <v/>
      </c>
      <c r="H19" s="36" t="str">
        <f>IF(G19="","",G19*Assumptions!B17)</f>
        <v/>
      </c>
      <c r="I19" s="33" t="str">
        <f t="shared" si="1"/>
        <v/>
      </c>
      <c r="J19" s="55"/>
      <c r="K19" s="55"/>
      <c r="L19" s="55"/>
    </row>
    <row r="20" spans="1:12" ht="18" customHeight="1" x14ac:dyDescent="0.25">
      <c r="A20" s="15"/>
      <c r="B20" s="15"/>
      <c r="C20" s="15"/>
      <c r="D20" s="15"/>
      <c r="E20" s="60"/>
      <c r="F20" s="61"/>
      <c r="G20" s="36" t="str">
        <f t="shared" si="0"/>
        <v/>
      </c>
      <c r="H20" s="36" t="str">
        <f>IF(G20="","",G20*Assumptions!B17)</f>
        <v/>
      </c>
      <c r="I20" s="33" t="str">
        <f t="shared" si="1"/>
        <v/>
      </c>
      <c r="J20" s="15"/>
      <c r="K20" s="15"/>
      <c r="L20" s="15"/>
    </row>
    <row r="21" spans="1:12" ht="18" customHeight="1" x14ac:dyDescent="0.25">
      <c r="A21" s="55"/>
      <c r="B21" s="55"/>
      <c r="C21" s="55"/>
      <c r="D21" s="55"/>
      <c r="E21" s="60"/>
      <c r="F21" s="61"/>
      <c r="G21" s="36" t="str">
        <f t="shared" si="0"/>
        <v/>
      </c>
      <c r="H21" s="36" t="str">
        <f>IF(G21="","",G21*Assumptions!B17)</f>
        <v/>
      </c>
      <c r="I21" s="33" t="str">
        <f t="shared" si="1"/>
        <v/>
      </c>
      <c r="J21" s="55"/>
      <c r="K21" s="55"/>
      <c r="L21" s="55"/>
    </row>
    <row r="22" spans="1:12" ht="18" customHeight="1" x14ac:dyDescent="0.25">
      <c r="A22" s="15"/>
      <c r="B22" s="15"/>
      <c r="C22" s="15"/>
      <c r="D22" s="15"/>
      <c r="E22" s="60"/>
      <c r="F22" s="61"/>
      <c r="G22" s="36" t="str">
        <f t="shared" si="0"/>
        <v/>
      </c>
      <c r="H22" s="36" t="str">
        <f>IF(G22="","",G22*Assumptions!B17)</f>
        <v/>
      </c>
      <c r="I22" s="33" t="str">
        <f t="shared" si="1"/>
        <v/>
      </c>
      <c r="J22" s="15"/>
      <c r="K22" s="15"/>
      <c r="L22" s="15"/>
    </row>
    <row r="23" spans="1:12" ht="18" customHeight="1" x14ac:dyDescent="0.25">
      <c r="A23" s="55"/>
      <c r="B23" s="55"/>
      <c r="C23" s="55"/>
      <c r="D23" s="55"/>
      <c r="E23" s="60"/>
      <c r="F23" s="61"/>
      <c r="G23" s="36" t="str">
        <f t="shared" si="0"/>
        <v/>
      </c>
      <c r="H23" s="36" t="str">
        <f>IF(G23="","",G23*Assumptions!B17)</f>
        <v/>
      </c>
      <c r="I23" s="33" t="str">
        <f t="shared" si="1"/>
        <v/>
      </c>
      <c r="J23" s="55"/>
      <c r="K23" s="55"/>
      <c r="L23" s="55"/>
    </row>
    <row r="24" spans="1:12" ht="18" customHeight="1" x14ac:dyDescent="0.25">
      <c r="A24" s="15"/>
      <c r="B24" s="15"/>
      <c r="C24" s="15"/>
      <c r="D24" s="15"/>
      <c r="E24" s="60"/>
      <c r="F24" s="61"/>
      <c r="G24" s="36" t="str">
        <f t="shared" si="0"/>
        <v/>
      </c>
      <c r="H24" s="36" t="str">
        <f>IF(G24="","",G24*Assumptions!B17)</f>
        <v/>
      </c>
      <c r="I24" s="33" t="str">
        <f t="shared" si="1"/>
        <v/>
      </c>
      <c r="J24" s="15"/>
      <c r="K24" s="15"/>
      <c r="L24" s="15"/>
    </row>
    <row r="25" spans="1:12" ht="18" customHeight="1" x14ac:dyDescent="0.25">
      <c r="A25" s="55"/>
      <c r="B25" s="55"/>
      <c r="C25" s="55"/>
      <c r="D25" s="55"/>
      <c r="E25" s="60"/>
      <c r="F25" s="61"/>
      <c r="G25" s="36" t="str">
        <f t="shared" si="0"/>
        <v/>
      </c>
      <c r="H25" s="36" t="str">
        <f>IF(G25="","",G25*Assumptions!B17)</f>
        <v/>
      </c>
      <c r="I25" s="33" t="str">
        <f t="shared" si="1"/>
        <v/>
      </c>
      <c r="J25" s="55"/>
      <c r="K25" s="55"/>
      <c r="L25" s="55"/>
    </row>
    <row r="26" spans="1:12" ht="18" customHeight="1" x14ac:dyDescent="0.25">
      <c r="A26" s="15"/>
      <c r="B26" s="15"/>
      <c r="C26" s="15"/>
      <c r="D26" s="15"/>
      <c r="E26" s="60"/>
      <c r="F26" s="61"/>
      <c r="G26" s="36" t="str">
        <f t="shared" si="0"/>
        <v/>
      </c>
      <c r="H26" s="36" t="str">
        <f>IF(G26="","",G26*Assumptions!B17)</f>
        <v/>
      </c>
      <c r="I26" s="33" t="str">
        <f t="shared" si="1"/>
        <v/>
      </c>
      <c r="J26" s="15"/>
      <c r="K26" s="15"/>
      <c r="L26" s="15"/>
    </row>
    <row r="27" spans="1:12" ht="18" customHeight="1" x14ac:dyDescent="0.25">
      <c r="A27" s="55"/>
      <c r="B27" s="55"/>
      <c r="C27" s="55"/>
      <c r="D27" s="55"/>
      <c r="E27" s="60"/>
      <c r="F27" s="61"/>
      <c r="G27" s="36" t="str">
        <f t="shared" si="0"/>
        <v/>
      </c>
      <c r="H27" s="36" t="str">
        <f>IF(G27="","",G27*Assumptions!B17)</f>
        <v/>
      </c>
      <c r="I27" s="33" t="str">
        <f t="shared" si="1"/>
        <v/>
      </c>
      <c r="J27" s="55"/>
      <c r="K27" s="55"/>
      <c r="L27" s="55"/>
    </row>
    <row r="28" spans="1:12" ht="18" customHeight="1" x14ac:dyDescent="0.25">
      <c r="A28" s="15"/>
      <c r="B28" s="15"/>
      <c r="C28" s="15"/>
      <c r="D28" s="15"/>
      <c r="E28" s="60"/>
      <c r="F28" s="61"/>
      <c r="G28" s="36" t="str">
        <f t="shared" si="0"/>
        <v/>
      </c>
      <c r="H28" s="36" t="str">
        <f>IF(G28="","",G28*Assumptions!B17)</f>
        <v/>
      </c>
      <c r="I28" s="33" t="str">
        <f t="shared" si="1"/>
        <v/>
      </c>
      <c r="J28" s="15"/>
      <c r="K28" s="15"/>
      <c r="L28" s="15"/>
    </row>
    <row r="29" spans="1:12" ht="18" customHeight="1" x14ac:dyDescent="0.25">
      <c r="A29" s="55"/>
      <c r="B29" s="55"/>
      <c r="C29" s="55"/>
      <c r="D29" s="55"/>
      <c r="E29" s="60"/>
      <c r="F29" s="61"/>
      <c r="G29" s="36" t="str">
        <f t="shared" si="0"/>
        <v/>
      </c>
      <c r="H29" s="36" t="str">
        <f>IF(G29="","",G29*Assumptions!B17)</f>
        <v/>
      </c>
      <c r="I29" s="33" t="str">
        <f t="shared" si="1"/>
        <v/>
      </c>
      <c r="J29" s="55"/>
      <c r="K29" s="55"/>
      <c r="L29" s="55"/>
    </row>
    <row r="30" spans="1:12" ht="18" customHeight="1" x14ac:dyDescent="0.25">
      <c r="A30" s="15"/>
      <c r="B30" s="15"/>
      <c r="C30" s="15"/>
      <c r="D30" s="15"/>
      <c r="E30" s="60"/>
      <c r="F30" s="61"/>
      <c r="G30" s="36" t="str">
        <f t="shared" si="0"/>
        <v/>
      </c>
      <c r="H30" s="36" t="str">
        <f>IF(G30="","",G30*Assumptions!B17)</f>
        <v/>
      </c>
      <c r="I30" s="33" t="str">
        <f t="shared" si="1"/>
        <v/>
      </c>
      <c r="J30" s="15"/>
      <c r="K30" s="15"/>
      <c r="L30" s="15"/>
    </row>
    <row r="31" spans="1:12" ht="18" customHeight="1" x14ac:dyDescent="0.25">
      <c r="A31" s="55"/>
      <c r="B31" s="55"/>
      <c r="C31" s="55"/>
      <c r="D31" s="55"/>
      <c r="E31" s="60"/>
      <c r="F31" s="61"/>
      <c r="G31" s="36" t="str">
        <f t="shared" si="0"/>
        <v/>
      </c>
      <c r="H31" s="36" t="str">
        <f>IF(G31="","",G31*Assumptions!B17)</f>
        <v/>
      </c>
      <c r="I31" s="33" t="str">
        <f t="shared" si="1"/>
        <v/>
      </c>
      <c r="J31" s="55"/>
      <c r="K31" s="55"/>
      <c r="L31" s="55"/>
    </row>
    <row r="32" spans="1:12" ht="18" customHeight="1" x14ac:dyDescent="0.25">
      <c r="A32" s="15"/>
      <c r="B32" s="15"/>
      <c r="C32" s="15"/>
      <c r="D32" s="15"/>
      <c r="E32" s="60"/>
      <c r="F32" s="61"/>
      <c r="G32" s="36" t="str">
        <f t="shared" si="0"/>
        <v/>
      </c>
      <c r="H32" s="36" t="str">
        <f>IF(G32="","",G32*Assumptions!B17)</f>
        <v/>
      </c>
      <c r="I32" s="33" t="str">
        <f t="shared" si="1"/>
        <v/>
      </c>
      <c r="J32" s="15"/>
      <c r="K32" s="15"/>
      <c r="L32" s="15"/>
    </row>
    <row r="33" spans="1:12" ht="18" customHeight="1" x14ac:dyDescent="0.25">
      <c r="A33" s="55"/>
      <c r="B33" s="55"/>
      <c r="C33" s="55"/>
      <c r="D33" s="55"/>
      <c r="E33" s="60"/>
      <c r="F33" s="61"/>
      <c r="G33" s="36" t="str">
        <f t="shared" si="0"/>
        <v/>
      </c>
      <c r="H33" s="36" t="str">
        <f>IF(G33="","",G33*Assumptions!B17)</f>
        <v/>
      </c>
      <c r="I33" s="33" t="str">
        <f t="shared" si="1"/>
        <v/>
      </c>
      <c r="J33" s="55"/>
      <c r="K33" s="55"/>
      <c r="L33" s="55"/>
    </row>
    <row r="34" spans="1:12" ht="18" customHeight="1" x14ac:dyDescent="0.25">
      <c r="A34" s="28" t="s">
        <v>286</v>
      </c>
      <c r="B34" s="30"/>
      <c r="C34" s="30"/>
      <c r="D34" s="30"/>
      <c r="E34" s="29">
        <f>SUM(E4:E33)</f>
        <v>0</v>
      </c>
      <c r="F34" s="30"/>
      <c r="G34" s="39">
        <f>SUM(G4:G33)</f>
        <v>0</v>
      </c>
      <c r="H34" s="39">
        <f>SUM(H4:H33)</f>
        <v>0</v>
      </c>
      <c r="I34" s="39">
        <f>SUM(I4:I33)</f>
        <v>0</v>
      </c>
      <c r="J34" s="30"/>
      <c r="K34" s="30"/>
      <c r="L34" s="30"/>
    </row>
  </sheetData>
  <mergeCells count="1">
    <mergeCell ref="A1:L1"/>
  </mergeCells>
  <dataValidations count="1">
    <dataValidation type="list" allowBlank="1" sqref="D4:D33" xr:uid="{00000000-0002-0000-0700-000000000000}">
      <formula1>"New SDA,Buy-Back,Existing (Buy-Back Pending)"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39C12"/>
  </sheetPr>
  <dimension ref="A1:I4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3" width="22" customWidth="1"/>
    <col min="4" max="8" width="14" customWidth="1"/>
    <col min="9" max="9" width="30" customWidth="1"/>
  </cols>
  <sheetData>
    <row r="1" spans="1:9" ht="27.75" customHeight="1" x14ac:dyDescent="0.25">
      <c r="A1" s="11" t="s">
        <v>287</v>
      </c>
      <c r="B1" s="11"/>
      <c r="C1" s="11"/>
      <c r="D1" s="11"/>
      <c r="E1" s="11"/>
      <c r="F1" s="11"/>
      <c r="G1" s="11"/>
      <c r="H1" s="11"/>
      <c r="I1" s="11"/>
    </row>
    <row r="2" spans="1:9" ht="18" customHeight="1" x14ac:dyDescent="0.25">
      <c r="A2" s="3" t="s">
        <v>288</v>
      </c>
      <c r="B2" s="3"/>
      <c r="C2" s="3"/>
      <c r="D2" s="3"/>
      <c r="E2" s="3"/>
      <c r="F2" s="3"/>
      <c r="G2" s="3"/>
      <c r="H2" s="3"/>
      <c r="I2" s="3"/>
    </row>
    <row r="3" spans="1:9" ht="30" customHeight="1" x14ac:dyDescent="0.25">
      <c r="A3" s="12" t="s">
        <v>54</v>
      </c>
      <c r="B3" s="12" t="s">
        <v>289</v>
      </c>
      <c r="C3" s="12" t="s">
        <v>290</v>
      </c>
      <c r="D3" s="12" t="s">
        <v>72</v>
      </c>
      <c r="E3" s="12" t="s">
        <v>291</v>
      </c>
      <c r="F3" s="12" t="s">
        <v>292</v>
      </c>
      <c r="G3" s="12" t="s">
        <v>293</v>
      </c>
      <c r="H3" s="12" t="s">
        <v>294</v>
      </c>
      <c r="I3" s="12" t="s">
        <v>179</v>
      </c>
    </row>
    <row r="4" spans="1:9" ht="24" customHeight="1" x14ac:dyDescent="0.25">
      <c r="A4" s="9" t="s">
        <v>59</v>
      </c>
      <c r="B4" s="9"/>
      <c r="C4" s="9"/>
      <c r="D4" s="9"/>
      <c r="E4" s="9"/>
      <c r="F4" s="9"/>
      <c r="G4" s="9"/>
      <c r="H4" s="9"/>
      <c r="I4" s="9"/>
    </row>
    <row r="5" spans="1:9" ht="18" customHeight="1" x14ac:dyDescent="0.25">
      <c r="A5" s="55" t="s">
        <v>59</v>
      </c>
      <c r="B5" s="65"/>
      <c r="C5" s="65"/>
      <c r="D5" s="65"/>
      <c r="E5" s="65"/>
      <c r="F5" s="65"/>
      <c r="G5" s="65"/>
      <c r="H5" s="65"/>
      <c r="I5" s="15"/>
    </row>
    <row r="6" spans="1:9" ht="18" customHeight="1" x14ac:dyDescent="0.25">
      <c r="A6" s="55" t="s">
        <v>59</v>
      </c>
      <c r="B6" s="65"/>
      <c r="C6" s="65"/>
      <c r="D6" s="65"/>
      <c r="E6" s="65"/>
      <c r="F6" s="65"/>
      <c r="G6" s="65"/>
      <c r="H6" s="65"/>
      <c r="I6" s="15"/>
    </row>
    <row r="7" spans="1:9" ht="18" customHeight="1" x14ac:dyDescent="0.25">
      <c r="A7" s="55" t="s">
        <v>59</v>
      </c>
      <c r="B7" s="65"/>
      <c r="C7" s="65"/>
      <c r="D7" s="65"/>
      <c r="E7" s="65"/>
      <c r="F7" s="65"/>
      <c r="G7" s="65"/>
      <c r="H7" s="65"/>
      <c r="I7" s="15"/>
    </row>
    <row r="8" spans="1:9" ht="18" customHeight="1" x14ac:dyDescent="0.25">
      <c r="A8" s="55" t="s">
        <v>59</v>
      </c>
      <c r="B8" s="65"/>
      <c r="C8" s="65"/>
      <c r="D8" s="65"/>
      <c r="E8" s="65"/>
      <c r="F8" s="65"/>
      <c r="G8" s="65"/>
      <c r="H8" s="65"/>
      <c r="I8" s="15"/>
    </row>
    <row r="9" spans="1:9" ht="24" customHeight="1" x14ac:dyDescent="0.25">
      <c r="A9" s="9" t="s">
        <v>62</v>
      </c>
      <c r="B9" s="9"/>
      <c r="C9" s="9"/>
      <c r="D9" s="9"/>
      <c r="E9" s="9"/>
      <c r="F9" s="9"/>
      <c r="G9" s="9"/>
      <c r="H9" s="9"/>
      <c r="I9" s="9"/>
    </row>
    <row r="10" spans="1:9" ht="18" customHeight="1" x14ac:dyDescent="0.25">
      <c r="A10" s="55" t="s">
        <v>62</v>
      </c>
      <c r="B10" s="65"/>
      <c r="C10" s="65"/>
      <c r="D10" s="65"/>
      <c r="E10" s="65"/>
      <c r="F10" s="65"/>
      <c r="G10" s="65"/>
      <c r="H10" s="65"/>
      <c r="I10" s="15"/>
    </row>
    <row r="11" spans="1:9" ht="18" customHeight="1" x14ac:dyDescent="0.25">
      <c r="A11" s="55" t="s">
        <v>62</v>
      </c>
      <c r="B11" s="65"/>
      <c r="C11" s="65"/>
      <c r="D11" s="65"/>
      <c r="E11" s="65"/>
      <c r="F11" s="65"/>
      <c r="G11" s="65"/>
      <c r="H11" s="65"/>
      <c r="I11" s="15"/>
    </row>
    <row r="12" spans="1:9" ht="18" customHeight="1" x14ac:dyDescent="0.25">
      <c r="A12" s="55" t="s">
        <v>62</v>
      </c>
      <c r="B12" s="65"/>
      <c r="C12" s="65"/>
      <c r="D12" s="65"/>
      <c r="E12" s="65"/>
      <c r="F12" s="65"/>
      <c r="G12" s="65"/>
      <c r="H12" s="65"/>
      <c r="I12" s="15"/>
    </row>
    <row r="13" spans="1:9" ht="18" customHeight="1" x14ac:dyDescent="0.25">
      <c r="A13" s="55" t="s">
        <v>62</v>
      </c>
      <c r="B13" s="65"/>
      <c r="C13" s="65"/>
      <c r="D13" s="65"/>
      <c r="E13" s="65"/>
      <c r="F13" s="65"/>
      <c r="G13" s="65"/>
      <c r="H13" s="65"/>
      <c r="I13" s="15"/>
    </row>
    <row r="14" spans="1:9" ht="24" customHeight="1" x14ac:dyDescent="0.25">
      <c r="A14" s="9" t="s">
        <v>63</v>
      </c>
      <c r="B14" s="9"/>
      <c r="C14" s="9"/>
      <c r="D14" s="9"/>
      <c r="E14" s="9"/>
      <c r="F14" s="9"/>
      <c r="G14" s="9"/>
      <c r="H14" s="9"/>
      <c r="I14" s="9"/>
    </row>
    <row r="15" spans="1:9" ht="18" customHeight="1" x14ac:dyDescent="0.25">
      <c r="A15" s="55" t="s">
        <v>63</v>
      </c>
      <c r="B15" s="65"/>
      <c r="C15" s="65"/>
      <c r="D15" s="65"/>
      <c r="E15" s="65"/>
      <c r="F15" s="65"/>
      <c r="G15" s="65"/>
      <c r="H15" s="65"/>
      <c r="I15" s="15"/>
    </row>
    <row r="16" spans="1:9" ht="18" customHeight="1" x14ac:dyDescent="0.25">
      <c r="A16" s="55" t="s">
        <v>63</v>
      </c>
      <c r="B16" s="65"/>
      <c r="C16" s="65"/>
      <c r="D16" s="65"/>
      <c r="E16" s="65"/>
      <c r="F16" s="65"/>
      <c r="G16" s="65"/>
      <c r="H16" s="65"/>
      <c r="I16" s="15"/>
    </row>
    <row r="17" spans="1:9" ht="18" customHeight="1" x14ac:dyDescent="0.25">
      <c r="A17" s="55" t="s">
        <v>63</v>
      </c>
      <c r="B17" s="65"/>
      <c r="C17" s="65"/>
      <c r="D17" s="65"/>
      <c r="E17" s="65"/>
      <c r="F17" s="65"/>
      <c r="G17" s="65"/>
      <c r="H17" s="65"/>
      <c r="I17" s="15"/>
    </row>
    <row r="18" spans="1:9" ht="18" customHeight="1" x14ac:dyDescent="0.25">
      <c r="A18" s="55" t="s">
        <v>63</v>
      </c>
      <c r="B18" s="65"/>
      <c r="C18" s="65"/>
      <c r="D18" s="65"/>
      <c r="E18" s="65"/>
      <c r="F18" s="65"/>
      <c r="G18" s="65"/>
      <c r="H18" s="65"/>
      <c r="I18" s="15"/>
    </row>
    <row r="19" spans="1:9" ht="24" customHeight="1" x14ac:dyDescent="0.25">
      <c r="A19" s="9" t="s">
        <v>66</v>
      </c>
      <c r="B19" s="9"/>
      <c r="C19" s="9"/>
      <c r="D19" s="9"/>
      <c r="E19" s="9"/>
      <c r="F19" s="9"/>
      <c r="G19" s="9"/>
      <c r="H19" s="9"/>
      <c r="I19" s="9"/>
    </row>
    <row r="20" spans="1:9" ht="18" customHeight="1" x14ac:dyDescent="0.25">
      <c r="A20" s="55" t="s">
        <v>66</v>
      </c>
      <c r="B20" s="65"/>
      <c r="C20" s="65"/>
      <c r="D20" s="65"/>
      <c r="E20" s="65"/>
      <c r="F20" s="65"/>
      <c r="G20" s="65"/>
      <c r="H20" s="65"/>
      <c r="I20" s="15"/>
    </row>
    <row r="21" spans="1:9" ht="18" customHeight="1" x14ac:dyDescent="0.25">
      <c r="A21" s="55" t="s">
        <v>66</v>
      </c>
      <c r="B21" s="65"/>
      <c r="C21" s="65"/>
      <c r="D21" s="65"/>
      <c r="E21" s="65"/>
      <c r="F21" s="65"/>
      <c r="G21" s="65"/>
      <c r="H21" s="65"/>
      <c r="I21" s="15"/>
    </row>
    <row r="22" spans="1:9" ht="18" customHeight="1" x14ac:dyDescent="0.25">
      <c r="A22" s="55" t="s">
        <v>66</v>
      </c>
      <c r="B22" s="65"/>
      <c r="C22" s="65"/>
      <c r="D22" s="65"/>
      <c r="E22" s="65"/>
      <c r="F22" s="65"/>
      <c r="G22" s="65"/>
      <c r="H22" s="65"/>
      <c r="I22" s="15"/>
    </row>
    <row r="23" spans="1:9" ht="18" customHeight="1" x14ac:dyDescent="0.25">
      <c r="A23" s="55" t="s">
        <v>66</v>
      </c>
      <c r="B23" s="65"/>
      <c r="C23" s="65"/>
      <c r="D23" s="65"/>
      <c r="E23" s="65"/>
      <c r="F23" s="65"/>
      <c r="G23" s="65"/>
      <c r="H23" s="65"/>
      <c r="I23" s="15"/>
    </row>
    <row r="24" spans="1:9" ht="24" customHeight="1" x14ac:dyDescent="0.25">
      <c r="A24" s="9" t="s">
        <v>67</v>
      </c>
      <c r="B24" s="9"/>
      <c r="C24" s="9"/>
      <c r="D24" s="9"/>
      <c r="E24" s="9"/>
      <c r="F24" s="9"/>
      <c r="G24" s="9"/>
      <c r="H24" s="9"/>
      <c r="I24" s="9"/>
    </row>
    <row r="25" spans="1:9" ht="18" customHeight="1" x14ac:dyDescent="0.25">
      <c r="A25" s="55" t="s">
        <v>67</v>
      </c>
      <c r="B25" s="65"/>
      <c r="C25" s="65"/>
      <c r="D25" s="65"/>
      <c r="E25" s="65"/>
      <c r="F25" s="65"/>
      <c r="G25" s="65"/>
      <c r="H25" s="65"/>
      <c r="I25" s="15"/>
    </row>
    <row r="26" spans="1:9" ht="18" customHeight="1" x14ac:dyDescent="0.25">
      <c r="A26" s="55" t="s">
        <v>67</v>
      </c>
      <c r="B26" s="65"/>
      <c r="C26" s="65"/>
      <c r="D26" s="65"/>
      <c r="E26" s="65"/>
      <c r="F26" s="65"/>
      <c r="G26" s="65"/>
      <c r="H26" s="65"/>
      <c r="I26" s="15"/>
    </row>
    <row r="27" spans="1:9" ht="18" customHeight="1" x14ac:dyDescent="0.25">
      <c r="A27" s="55" t="s">
        <v>67</v>
      </c>
      <c r="B27" s="65"/>
      <c r="C27" s="65"/>
      <c r="D27" s="65"/>
      <c r="E27" s="65"/>
      <c r="F27" s="65"/>
      <c r="G27" s="65"/>
      <c r="H27" s="65"/>
      <c r="I27" s="15"/>
    </row>
    <row r="28" spans="1:9" ht="18" customHeight="1" x14ac:dyDescent="0.25">
      <c r="A28" s="55" t="s">
        <v>67</v>
      </c>
      <c r="B28" s="65"/>
      <c r="C28" s="65"/>
      <c r="D28" s="65"/>
      <c r="E28" s="65"/>
      <c r="F28" s="65"/>
      <c r="G28" s="65"/>
      <c r="H28" s="65"/>
      <c r="I28" s="15"/>
    </row>
    <row r="29" spans="1:9" ht="24" customHeight="1" x14ac:dyDescent="0.25">
      <c r="A29" s="9" t="s">
        <v>68</v>
      </c>
      <c r="B29" s="9"/>
      <c r="C29" s="9"/>
      <c r="D29" s="9"/>
      <c r="E29" s="9"/>
      <c r="F29" s="9"/>
      <c r="G29" s="9"/>
      <c r="H29" s="9"/>
      <c r="I29" s="9"/>
    </row>
    <row r="30" spans="1:9" ht="18" customHeight="1" x14ac:dyDescent="0.25">
      <c r="A30" s="55" t="s">
        <v>68</v>
      </c>
      <c r="B30" s="65"/>
      <c r="C30" s="65"/>
      <c r="D30" s="65"/>
      <c r="E30" s="65"/>
      <c r="F30" s="65"/>
      <c r="G30" s="65"/>
      <c r="H30" s="65"/>
      <c r="I30" s="15"/>
    </row>
    <row r="31" spans="1:9" ht="18" customHeight="1" x14ac:dyDescent="0.25">
      <c r="A31" s="55" t="s">
        <v>68</v>
      </c>
      <c r="B31" s="65"/>
      <c r="C31" s="65"/>
      <c r="D31" s="65"/>
      <c r="E31" s="65"/>
      <c r="F31" s="65"/>
      <c r="G31" s="65"/>
      <c r="H31" s="65"/>
      <c r="I31" s="15"/>
    </row>
    <row r="32" spans="1:9" ht="18" customHeight="1" x14ac:dyDescent="0.25">
      <c r="A32" s="55" t="s">
        <v>68</v>
      </c>
      <c r="B32" s="65"/>
      <c r="C32" s="65"/>
      <c r="D32" s="65"/>
      <c r="E32" s="65"/>
      <c r="F32" s="65"/>
      <c r="G32" s="65"/>
      <c r="H32" s="65"/>
      <c r="I32" s="15"/>
    </row>
    <row r="33" spans="1:9" ht="18" customHeight="1" x14ac:dyDescent="0.25">
      <c r="A33" s="55" t="s">
        <v>68</v>
      </c>
      <c r="B33" s="65"/>
      <c r="C33" s="65"/>
      <c r="D33" s="65"/>
      <c r="E33" s="65"/>
      <c r="F33" s="65"/>
      <c r="G33" s="65"/>
      <c r="H33" s="65"/>
      <c r="I33" s="15"/>
    </row>
    <row r="34" spans="1:9" ht="24" customHeight="1" x14ac:dyDescent="0.25">
      <c r="A34" s="9" t="s">
        <v>69</v>
      </c>
      <c r="B34" s="9"/>
      <c r="C34" s="9"/>
      <c r="D34" s="9"/>
      <c r="E34" s="9"/>
      <c r="F34" s="9"/>
      <c r="G34" s="9"/>
      <c r="H34" s="9"/>
      <c r="I34" s="9"/>
    </row>
    <row r="35" spans="1:9" ht="18" customHeight="1" x14ac:dyDescent="0.25">
      <c r="A35" s="55" t="s">
        <v>69</v>
      </c>
      <c r="B35" s="65"/>
      <c r="C35" s="65"/>
      <c r="D35" s="65"/>
      <c r="E35" s="65"/>
      <c r="F35" s="65"/>
      <c r="G35" s="65"/>
      <c r="H35" s="65"/>
      <c r="I35" s="15"/>
    </row>
    <row r="36" spans="1:9" ht="18" customHeight="1" x14ac:dyDescent="0.25">
      <c r="A36" s="55" t="s">
        <v>69</v>
      </c>
      <c r="B36" s="65"/>
      <c r="C36" s="65"/>
      <c r="D36" s="65"/>
      <c r="E36" s="65"/>
      <c r="F36" s="65"/>
      <c r="G36" s="65"/>
      <c r="H36" s="65"/>
      <c r="I36" s="15"/>
    </row>
    <row r="37" spans="1:9" ht="18" customHeight="1" x14ac:dyDescent="0.25">
      <c r="A37" s="55" t="s">
        <v>69</v>
      </c>
      <c r="B37" s="65"/>
      <c r="C37" s="65"/>
      <c r="D37" s="65"/>
      <c r="E37" s="65"/>
      <c r="F37" s="65"/>
      <c r="G37" s="65"/>
      <c r="H37" s="65"/>
      <c r="I37" s="15"/>
    </row>
    <row r="38" spans="1:9" ht="18" customHeight="1" x14ac:dyDescent="0.25">
      <c r="A38" s="55" t="s">
        <v>69</v>
      </c>
      <c r="B38" s="65"/>
      <c r="C38" s="65"/>
      <c r="D38" s="65"/>
      <c r="E38" s="65"/>
      <c r="F38" s="65"/>
      <c r="G38" s="65"/>
      <c r="H38" s="65"/>
      <c r="I38" s="15"/>
    </row>
    <row r="39" spans="1:9" ht="24" customHeight="1" x14ac:dyDescent="0.25">
      <c r="A39" s="9" t="s">
        <v>295</v>
      </c>
      <c r="B39" s="9"/>
      <c r="C39" s="9"/>
      <c r="D39" s="9"/>
      <c r="E39" s="9"/>
      <c r="F39" s="9"/>
      <c r="G39" s="9"/>
      <c r="H39" s="9"/>
      <c r="I39" s="9"/>
    </row>
    <row r="40" spans="1:9" ht="18" customHeight="1" x14ac:dyDescent="0.25">
      <c r="A40" s="55" t="s">
        <v>296</v>
      </c>
      <c r="B40" s="65" t="s">
        <v>297</v>
      </c>
      <c r="C40" s="65"/>
      <c r="D40" s="15" t="s">
        <v>298</v>
      </c>
      <c r="E40" s="65"/>
      <c r="F40" s="65"/>
      <c r="G40" s="65"/>
      <c r="H40" s="65"/>
      <c r="I40" s="15"/>
    </row>
    <row r="41" spans="1:9" ht="18" customHeight="1" x14ac:dyDescent="0.25">
      <c r="A41" s="55" t="s">
        <v>296</v>
      </c>
      <c r="B41" s="65" t="s">
        <v>299</v>
      </c>
      <c r="C41" s="65"/>
      <c r="D41" s="15" t="s">
        <v>300</v>
      </c>
      <c r="E41" s="65"/>
      <c r="F41" s="65"/>
      <c r="G41" s="65"/>
      <c r="H41" s="65"/>
      <c r="I41" s="15"/>
    </row>
    <row r="42" spans="1:9" ht="18" customHeight="1" x14ac:dyDescent="0.25">
      <c r="A42" s="55" t="s">
        <v>296</v>
      </c>
      <c r="B42" s="65" t="s">
        <v>301</v>
      </c>
      <c r="C42" s="65"/>
      <c r="D42" s="15" t="s">
        <v>302</v>
      </c>
      <c r="E42" s="65"/>
      <c r="F42" s="65"/>
      <c r="G42" s="65"/>
      <c r="H42" s="65"/>
      <c r="I42" s="15"/>
    </row>
    <row r="43" spans="1:9" ht="18" customHeight="1" x14ac:dyDescent="0.25">
      <c r="A43" s="55" t="s">
        <v>296</v>
      </c>
      <c r="B43" s="65" t="s">
        <v>303</v>
      </c>
      <c r="C43" s="65"/>
      <c r="D43" s="15" t="s">
        <v>304</v>
      </c>
      <c r="E43" s="65"/>
      <c r="F43" s="65"/>
      <c r="G43" s="65"/>
      <c r="H43" s="65"/>
      <c r="I43" s="15"/>
    </row>
    <row r="44" spans="1:9" ht="18" customHeight="1" x14ac:dyDescent="0.25">
      <c r="A44" s="55" t="s">
        <v>296</v>
      </c>
      <c r="B44" s="65" t="s">
        <v>305</v>
      </c>
      <c r="C44" s="65"/>
      <c r="D44" s="15"/>
      <c r="E44" s="65"/>
      <c r="F44" s="65"/>
      <c r="G44" s="65"/>
      <c r="H44" s="65"/>
      <c r="I44" s="15"/>
    </row>
    <row r="45" spans="1:9" ht="18" customHeight="1" x14ac:dyDescent="0.25">
      <c r="A45" s="55" t="s">
        <v>296</v>
      </c>
      <c r="B45" s="65" t="s">
        <v>306</v>
      </c>
      <c r="C45" s="65"/>
      <c r="D45" s="15"/>
      <c r="E45" s="65"/>
      <c r="F45" s="65"/>
      <c r="G45" s="65"/>
      <c r="H45" s="65"/>
      <c r="I45" s="15"/>
    </row>
  </sheetData>
  <mergeCells count="10">
    <mergeCell ref="A19:I19"/>
    <mergeCell ref="A24:I24"/>
    <mergeCell ref="A29:I29"/>
    <mergeCell ref="A34:I34"/>
    <mergeCell ref="A39:I39"/>
    <mergeCell ref="A1:I1"/>
    <mergeCell ref="A2:I2"/>
    <mergeCell ref="A4:I4"/>
    <mergeCell ref="A9:I9"/>
    <mergeCell ref="A14:I14"/>
  </mergeCells>
  <dataValidations count="2">
    <dataValidation type="list" allowBlank="1" sqref="D5:D8 D10:D13 D15:D18 D20:D23 D25:D28 D30:D33 D35:D38" xr:uid="{00000000-0002-0000-0800-000000000000}">
      <formula1>"Practice Manager,GP Partner,Admin,Finance,Board Member,Other"</formula1>
      <formula2>0</formula2>
    </dataValidation>
    <dataValidation type="list" allowBlank="1" sqref="E5:H8 E10:H13 E15:H18 E20:H23 E25:H28 E30:H33 E35:H38" xr:uid="{00000000-0002-0000-0800-000001000000}">
      <formula1>"Yes,No"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BC9C"/>
  </sheetPr>
  <dimension ref="A1:H33"/>
  <sheetViews>
    <sheetView zoomScaleNormal="100" workbookViewId="0">
      <pane xSplit="1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7109375" defaultRowHeight="15" x14ac:dyDescent="0.25"/>
  <cols>
    <col min="1" max="1" width="26" customWidth="1"/>
    <col min="2" max="8" width="16" customWidth="1"/>
  </cols>
  <sheetData>
    <row r="1" spans="1:8" ht="27.75" customHeight="1" x14ac:dyDescent="0.25">
      <c r="A1" s="11" t="s">
        <v>307</v>
      </c>
      <c r="B1" s="11"/>
      <c r="C1" s="11"/>
      <c r="D1" s="11"/>
      <c r="E1" s="11"/>
      <c r="F1" s="11"/>
      <c r="G1" s="11"/>
      <c r="H1" s="11"/>
    </row>
    <row r="2" spans="1:8" ht="18" customHeight="1" x14ac:dyDescent="0.25">
      <c r="A2" s="13" t="s">
        <v>308</v>
      </c>
      <c r="B2" s="19" t="s">
        <v>309</v>
      </c>
      <c r="C2" s="13" t="s">
        <v>310</v>
      </c>
      <c r="D2" s="19" t="s">
        <v>171</v>
      </c>
    </row>
    <row r="4" spans="1:8" ht="24" customHeight="1" x14ac:dyDescent="0.25">
      <c r="A4" s="9" t="s">
        <v>311</v>
      </c>
      <c r="B4" s="9"/>
      <c r="C4" s="9"/>
      <c r="D4" s="9"/>
      <c r="E4" s="9"/>
      <c r="F4" s="9"/>
      <c r="G4" s="9"/>
      <c r="H4" s="9"/>
    </row>
    <row r="5" spans="1:8" ht="30" customHeight="1" x14ac:dyDescent="0.25">
      <c r="A5" s="12" t="s">
        <v>272</v>
      </c>
      <c r="B5" s="12" t="s">
        <v>312</v>
      </c>
      <c r="C5" s="12" t="s">
        <v>313</v>
      </c>
      <c r="D5" s="12" t="s">
        <v>314</v>
      </c>
      <c r="E5" s="12" t="s">
        <v>315</v>
      </c>
      <c r="F5" s="12" t="s">
        <v>316</v>
      </c>
      <c r="G5" s="12" t="s">
        <v>317</v>
      </c>
      <c r="H5" s="12" t="s">
        <v>318</v>
      </c>
    </row>
    <row r="6" spans="1:8" ht="18" customHeight="1" x14ac:dyDescent="0.25">
      <c r="A6" s="66" t="s">
        <v>319</v>
      </c>
      <c r="B6" s="60"/>
      <c r="C6" s="60"/>
      <c r="D6" s="60"/>
      <c r="E6" s="60"/>
      <c r="F6" s="60"/>
      <c r="G6" s="60"/>
      <c r="H6" s="57">
        <f t="shared" ref="H6:H25" si="0">SUM(B6:G6)</f>
        <v>0</v>
      </c>
    </row>
    <row r="7" spans="1:8" ht="18" customHeight="1" x14ac:dyDescent="0.25">
      <c r="A7" s="15" t="s">
        <v>320</v>
      </c>
      <c r="B7" s="60"/>
      <c r="C7" s="60"/>
      <c r="D7" s="60"/>
      <c r="E7" s="60"/>
      <c r="F7" s="60"/>
      <c r="G7" s="60"/>
      <c r="H7" s="57">
        <f t="shared" si="0"/>
        <v>0</v>
      </c>
    </row>
    <row r="8" spans="1:8" ht="18" customHeight="1" x14ac:dyDescent="0.25">
      <c r="A8" s="64" t="s">
        <v>321</v>
      </c>
      <c r="B8" s="60"/>
      <c r="C8" s="60"/>
      <c r="D8" s="60"/>
      <c r="E8" s="60"/>
      <c r="F8" s="60"/>
      <c r="G8" s="60"/>
      <c r="H8" s="67">
        <f t="shared" si="0"/>
        <v>0</v>
      </c>
    </row>
    <row r="9" spans="1:8" ht="18" customHeight="1" x14ac:dyDescent="0.25">
      <c r="A9" s="68" t="s">
        <v>322</v>
      </c>
      <c r="B9" s="60"/>
      <c r="C9" s="60"/>
      <c r="D9" s="60"/>
      <c r="E9" s="60"/>
      <c r="F9" s="60"/>
      <c r="G9" s="60"/>
      <c r="H9" s="69">
        <f t="shared" si="0"/>
        <v>0</v>
      </c>
    </row>
    <row r="10" spans="1:8" ht="18" customHeight="1" x14ac:dyDescent="0.25">
      <c r="A10" s="66" t="s">
        <v>323</v>
      </c>
      <c r="B10" s="60"/>
      <c r="C10" s="60"/>
      <c r="D10" s="60"/>
      <c r="E10" s="60"/>
      <c r="F10" s="60"/>
      <c r="G10" s="60"/>
      <c r="H10" s="57">
        <f t="shared" si="0"/>
        <v>0</v>
      </c>
    </row>
    <row r="11" spans="1:8" ht="18" customHeight="1" x14ac:dyDescent="0.25">
      <c r="A11" s="15" t="s">
        <v>320</v>
      </c>
      <c r="B11" s="60"/>
      <c r="C11" s="60"/>
      <c r="D11" s="60"/>
      <c r="E11" s="60"/>
      <c r="F11" s="60"/>
      <c r="G11" s="60"/>
      <c r="H11" s="57">
        <f t="shared" si="0"/>
        <v>0</v>
      </c>
    </row>
    <row r="12" spans="1:8" ht="18" customHeight="1" x14ac:dyDescent="0.25">
      <c r="A12" s="64" t="s">
        <v>321</v>
      </c>
      <c r="B12" s="60"/>
      <c r="C12" s="60"/>
      <c r="D12" s="60"/>
      <c r="E12" s="60"/>
      <c r="F12" s="60"/>
      <c r="G12" s="60"/>
      <c r="H12" s="67">
        <f t="shared" si="0"/>
        <v>0</v>
      </c>
    </row>
    <row r="13" spans="1:8" ht="18" customHeight="1" x14ac:dyDescent="0.25">
      <c r="A13" s="68" t="s">
        <v>322</v>
      </c>
      <c r="B13" s="60"/>
      <c r="C13" s="60"/>
      <c r="D13" s="60"/>
      <c r="E13" s="60"/>
      <c r="F13" s="60"/>
      <c r="G13" s="60"/>
      <c r="H13" s="69">
        <f t="shared" si="0"/>
        <v>0</v>
      </c>
    </row>
    <row r="14" spans="1:8" ht="18" customHeight="1" x14ac:dyDescent="0.25">
      <c r="A14" s="66" t="s">
        <v>324</v>
      </c>
      <c r="B14" s="60"/>
      <c r="C14" s="60"/>
      <c r="D14" s="60"/>
      <c r="E14" s="60"/>
      <c r="F14" s="60"/>
      <c r="G14" s="60"/>
      <c r="H14" s="57">
        <f t="shared" si="0"/>
        <v>0</v>
      </c>
    </row>
    <row r="15" spans="1:8" ht="18" customHeight="1" x14ac:dyDescent="0.25">
      <c r="A15" s="15" t="s">
        <v>320</v>
      </c>
      <c r="B15" s="60"/>
      <c r="C15" s="60"/>
      <c r="D15" s="60"/>
      <c r="E15" s="60"/>
      <c r="F15" s="60"/>
      <c r="G15" s="60"/>
      <c r="H15" s="57">
        <f t="shared" si="0"/>
        <v>0</v>
      </c>
    </row>
    <row r="16" spans="1:8" ht="18" customHeight="1" x14ac:dyDescent="0.25">
      <c r="A16" s="64" t="s">
        <v>321</v>
      </c>
      <c r="B16" s="60"/>
      <c r="C16" s="60"/>
      <c r="D16" s="60"/>
      <c r="E16" s="60"/>
      <c r="F16" s="60"/>
      <c r="G16" s="60"/>
      <c r="H16" s="67">
        <f t="shared" si="0"/>
        <v>0</v>
      </c>
    </row>
    <row r="17" spans="1:8" ht="18" customHeight="1" x14ac:dyDescent="0.25">
      <c r="A17" s="68" t="s">
        <v>322</v>
      </c>
      <c r="B17" s="60"/>
      <c r="C17" s="60"/>
      <c r="D17" s="60"/>
      <c r="E17" s="60"/>
      <c r="F17" s="60"/>
      <c r="G17" s="60"/>
      <c r="H17" s="69">
        <f t="shared" si="0"/>
        <v>0</v>
      </c>
    </row>
    <row r="18" spans="1:8" ht="18" customHeight="1" x14ac:dyDescent="0.25">
      <c r="A18" s="66" t="s">
        <v>325</v>
      </c>
      <c r="B18" s="60"/>
      <c r="C18" s="60"/>
      <c r="D18" s="60"/>
      <c r="E18" s="60"/>
      <c r="F18" s="60"/>
      <c r="G18" s="60"/>
      <c r="H18" s="57">
        <f t="shared" si="0"/>
        <v>0</v>
      </c>
    </row>
    <row r="19" spans="1:8" ht="18" customHeight="1" x14ac:dyDescent="0.25">
      <c r="A19" s="15" t="s">
        <v>320</v>
      </c>
      <c r="B19" s="60"/>
      <c r="C19" s="60"/>
      <c r="D19" s="60"/>
      <c r="E19" s="60"/>
      <c r="F19" s="60"/>
      <c r="G19" s="60"/>
      <c r="H19" s="57">
        <f t="shared" si="0"/>
        <v>0</v>
      </c>
    </row>
    <row r="20" spans="1:8" ht="18" customHeight="1" x14ac:dyDescent="0.25">
      <c r="A20" s="64" t="s">
        <v>321</v>
      </c>
      <c r="B20" s="60"/>
      <c r="C20" s="60"/>
      <c r="D20" s="60"/>
      <c r="E20" s="60"/>
      <c r="F20" s="60"/>
      <c r="G20" s="60"/>
      <c r="H20" s="67">
        <f t="shared" si="0"/>
        <v>0</v>
      </c>
    </row>
    <row r="21" spans="1:8" ht="18" customHeight="1" x14ac:dyDescent="0.25">
      <c r="A21" s="68" t="s">
        <v>322</v>
      </c>
      <c r="B21" s="60"/>
      <c r="C21" s="60"/>
      <c r="D21" s="60"/>
      <c r="E21" s="60"/>
      <c r="F21" s="60"/>
      <c r="G21" s="60"/>
      <c r="H21" s="69">
        <f t="shared" si="0"/>
        <v>0</v>
      </c>
    </row>
    <row r="22" spans="1:8" ht="18" customHeight="1" x14ac:dyDescent="0.25">
      <c r="A22" s="66" t="s">
        <v>326</v>
      </c>
      <c r="B22" s="60"/>
      <c r="C22" s="60"/>
      <c r="D22" s="60"/>
      <c r="E22" s="60"/>
      <c r="F22" s="60"/>
      <c r="G22" s="60"/>
      <c r="H22" s="57">
        <f t="shared" si="0"/>
        <v>0</v>
      </c>
    </row>
    <row r="23" spans="1:8" ht="18" customHeight="1" x14ac:dyDescent="0.25">
      <c r="A23" s="15" t="s">
        <v>320</v>
      </c>
      <c r="B23" s="60"/>
      <c r="C23" s="60"/>
      <c r="D23" s="60"/>
      <c r="E23" s="60"/>
      <c r="F23" s="60"/>
      <c r="G23" s="60"/>
      <c r="H23" s="57">
        <f t="shared" si="0"/>
        <v>0</v>
      </c>
    </row>
    <row r="24" spans="1:8" ht="18" customHeight="1" x14ac:dyDescent="0.25">
      <c r="A24" s="64" t="s">
        <v>321</v>
      </c>
      <c r="B24" s="60"/>
      <c r="C24" s="60"/>
      <c r="D24" s="60"/>
      <c r="E24" s="60"/>
      <c r="F24" s="60"/>
      <c r="G24" s="60"/>
      <c r="H24" s="67">
        <f t="shared" si="0"/>
        <v>0</v>
      </c>
    </row>
    <row r="25" spans="1:8" ht="18" customHeight="1" x14ac:dyDescent="0.25">
      <c r="A25" s="68" t="s">
        <v>322</v>
      </c>
      <c r="B25" s="60"/>
      <c r="C25" s="60"/>
      <c r="D25" s="60"/>
      <c r="E25" s="60"/>
      <c r="F25" s="60"/>
      <c r="G25" s="60"/>
      <c r="H25" s="69">
        <f t="shared" si="0"/>
        <v>0</v>
      </c>
    </row>
    <row r="27" spans="1:8" ht="24" customHeight="1" x14ac:dyDescent="0.25">
      <c r="A27" s="9" t="s">
        <v>327</v>
      </c>
      <c r="B27" s="9"/>
      <c r="C27" s="9"/>
      <c r="D27" s="9"/>
      <c r="E27" s="9"/>
      <c r="F27" s="9"/>
      <c r="G27" s="9"/>
      <c r="H27" s="9"/>
    </row>
    <row r="28" spans="1:8" ht="18" customHeight="1" x14ac:dyDescent="0.25">
      <c r="A28" s="13" t="s">
        <v>328</v>
      </c>
      <c r="B28" s="57">
        <f>H6+H10+H14+H18+H22</f>
        <v>0</v>
      </c>
    </row>
    <row r="29" spans="1:8" ht="18" customHeight="1" x14ac:dyDescent="0.25">
      <c r="A29" s="13" t="s">
        <v>329</v>
      </c>
      <c r="B29" s="57">
        <f>H7+H11+H15+H19+H23</f>
        <v>0</v>
      </c>
    </row>
    <row r="30" spans="1:8" ht="18" customHeight="1" x14ac:dyDescent="0.25">
      <c r="A30" s="13" t="s">
        <v>330</v>
      </c>
      <c r="B30" s="67">
        <f>H8+H12+H16+H20+H24</f>
        <v>0</v>
      </c>
    </row>
    <row r="31" spans="1:8" ht="18" customHeight="1" x14ac:dyDescent="0.25">
      <c r="A31" s="13" t="s">
        <v>331</v>
      </c>
      <c r="B31" s="69">
        <f>H9+H13+H17+H21+H25</f>
        <v>0</v>
      </c>
    </row>
    <row r="32" spans="1:8" ht="18" customHeight="1" x14ac:dyDescent="0.25">
      <c r="A32" s="13" t="s">
        <v>332</v>
      </c>
      <c r="B32" s="57">
        <f>'Practice Allocations'!G11*4.33</f>
        <v>5896.0605439999999</v>
      </c>
    </row>
    <row r="33" spans="1:2" ht="18" customHeight="1" x14ac:dyDescent="0.25">
      <c r="A33" s="13" t="s">
        <v>111</v>
      </c>
      <c r="B33" s="57">
        <f>B29-B32</f>
        <v>-5896.0605439999999</v>
      </c>
    </row>
  </sheetData>
  <mergeCells count="3">
    <mergeCell ref="A1:H1"/>
    <mergeCell ref="A4:H4"/>
    <mergeCell ref="A27:H27"/>
  </mergeCell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8C8D"/>
  </sheetPr>
  <dimension ref="A1:H5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4" width="22" customWidth="1"/>
    <col min="5" max="5" width="35" customWidth="1"/>
    <col min="6" max="8" width="22" customWidth="1"/>
  </cols>
  <sheetData>
    <row r="1" spans="1:8" ht="27.75" customHeight="1" x14ac:dyDescent="0.25">
      <c r="A1" s="11" t="s">
        <v>333</v>
      </c>
      <c r="B1" s="11"/>
      <c r="C1" s="11"/>
      <c r="D1" s="11"/>
      <c r="E1" s="11"/>
      <c r="F1" s="11"/>
      <c r="G1" s="11"/>
      <c r="H1" s="11"/>
    </row>
    <row r="2" spans="1:8" ht="18" customHeight="1" x14ac:dyDescent="0.25">
      <c r="A2" s="2" t="s">
        <v>334</v>
      </c>
      <c r="B2" s="2"/>
      <c r="C2" s="2"/>
      <c r="D2" s="2"/>
      <c r="E2" s="2"/>
      <c r="F2" s="2"/>
      <c r="G2" s="2"/>
      <c r="H2" s="2"/>
    </row>
    <row r="3" spans="1:8" ht="30" customHeight="1" x14ac:dyDescent="0.25">
      <c r="A3" s="12" t="s">
        <v>335</v>
      </c>
      <c r="B3" s="12" t="s">
        <v>336</v>
      </c>
      <c r="C3" s="12" t="s">
        <v>72</v>
      </c>
      <c r="D3" s="12" t="s">
        <v>337</v>
      </c>
      <c r="E3" s="12" t="s">
        <v>338</v>
      </c>
      <c r="F3" s="12" t="s">
        <v>339</v>
      </c>
      <c r="G3" s="12" t="s">
        <v>340</v>
      </c>
      <c r="H3" s="12" t="s">
        <v>341</v>
      </c>
    </row>
    <row r="4" spans="1:8" ht="18" customHeight="1" x14ac:dyDescent="0.25">
      <c r="A4" s="70"/>
      <c r="B4" s="15"/>
      <c r="C4" s="15"/>
      <c r="D4" s="15"/>
      <c r="E4" s="15"/>
      <c r="F4" s="15"/>
      <c r="G4" s="15"/>
      <c r="H4" s="15"/>
    </row>
    <row r="5" spans="1:8" ht="18" customHeight="1" x14ac:dyDescent="0.25">
      <c r="A5" s="71"/>
      <c r="B5" s="55"/>
      <c r="C5" s="55"/>
      <c r="D5" s="55"/>
      <c r="E5" s="55"/>
      <c r="F5" s="55"/>
      <c r="G5" s="55"/>
      <c r="H5" s="55"/>
    </row>
    <row r="6" spans="1:8" ht="18" customHeight="1" x14ac:dyDescent="0.25">
      <c r="A6" s="70"/>
      <c r="B6" s="15"/>
      <c r="C6" s="15"/>
      <c r="D6" s="15"/>
      <c r="E6" s="15"/>
      <c r="F6" s="15"/>
      <c r="G6" s="15"/>
      <c r="H6" s="15"/>
    </row>
    <row r="7" spans="1:8" ht="18" customHeight="1" x14ac:dyDescent="0.25">
      <c r="A7" s="71"/>
      <c r="B7" s="55"/>
      <c r="C7" s="55"/>
      <c r="D7" s="55"/>
      <c r="E7" s="55"/>
      <c r="F7" s="55"/>
      <c r="G7" s="55"/>
      <c r="H7" s="55"/>
    </row>
    <row r="8" spans="1:8" ht="18" customHeight="1" x14ac:dyDescent="0.25">
      <c r="A8" s="70"/>
      <c r="B8" s="15"/>
      <c r="C8" s="15"/>
      <c r="D8" s="15"/>
      <c r="E8" s="15"/>
      <c r="F8" s="15"/>
      <c r="G8" s="15"/>
      <c r="H8" s="15"/>
    </row>
    <row r="9" spans="1:8" ht="18" customHeight="1" x14ac:dyDescent="0.25">
      <c r="A9" s="71"/>
      <c r="B9" s="55"/>
      <c r="C9" s="55"/>
      <c r="D9" s="55"/>
      <c r="E9" s="55"/>
      <c r="F9" s="55"/>
      <c r="G9" s="55"/>
      <c r="H9" s="55"/>
    </row>
    <row r="10" spans="1:8" ht="18" customHeight="1" x14ac:dyDescent="0.25">
      <c r="A10" s="70"/>
      <c r="B10" s="15"/>
      <c r="C10" s="15"/>
      <c r="D10" s="15"/>
      <c r="E10" s="15"/>
      <c r="F10" s="15"/>
      <c r="G10" s="15"/>
      <c r="H10" s="15"/>
    </row>
    <row r="11" spans="1:8" ht="18" customHeight="1" x14ac:dyDescent="0.25">
      <c r="A11" s="71"/>
      <c r="B11" s="55"/>
      <c r="C11" s="55"/>
      <c r="D11" s="55"/>
      <c r="E11" s="55"/>
      <c r="F11" s="55"/>
      <c r="G11" s="55"/>
      <c r="H11" s="55"/>
    </row>
    <row r="12" spans="1:8" ht="18" customHeight="1" x14ac:dyDescent="0.25">
      <c r="A12" s="70"/>
      <c r="B12" s="15"/>
      <c r="C12" s="15"/>
      <c r="D12" s="15"/>
      <c r="E12" s="15"/>
      <c r="F12" s="15"/>
      <c r="G12" s="15"/>
      <c r="H12" s="15"/>
    </row>
    <row r="13" spans="1:8" ht="18" customHeight="1" x14ac:dyDescent="0.25">
      <c r="A13" s="71"/>
      <c r="B13" s="55"/>
      <c r="C13" s="55"/>
      <c r="D13" s="55"/>
      <c r="E13" s="55"/>
      <c r="F13" s="55"/>
      <c r="G13" s="55"/>
      <c r="H13" s="55"/>
    </row>
    <row r="14" spans="1:8" ht="18" customHeight="1" x14ac:dyDescent="0.25">
      <c r="A14" s="70"/>
      <c r="B14" s="15"/>
      <c r="C14" s="15"/>
      <c r="D14" s="15"/>
      <c r="E14" s="15"/>
      <c r="F14" s="15"/>
      <c r="G14" s="15"/>
      <c r="H14" s="15"/>
    </row>
    <row r="15" spans="1:8" ht="18" customHeight="1" x14ac:dyDescent="0.25">
      <c r="A15" s="71"/>
      <c r="B15" s="55"/>
      <c r="C15" s="55"/>
      <c r="D15" s="55"/>
      <c r="E15" s="55"/>
      <c r="F15" s="55"/>
      <c r="G15" s="55"/>
      <c r="H15" s="55"/>
    </row>
    <row r="16" spans="1:8" ht="18" customHeight="1" x14ac:dyDescent="0.25">
      <c r="A16" s="70"/>
      <c r="B16" s="15"/>
      <c r="C16" s="15"/>
      <c r="D16" s="15"/>
      <c r="E16" s="15"/>
      <c r="F16" s="15"/>
      <c r="G16" s="15"/>
      <c r="H16" s="15"/>
    </row>
    <row r="17" spans="1:8" ht="18" customHeight="1" x14ac:dyDescent="0.25">
      <c r="A17" s="71"/>
      <c r="B17" s="55"/>
      <c r="C17" s="55"/>
      <c r="D17" s="55"/>
      <c r="E17" s="55"/>
      <c r="F17" s="55"/>
      <c r="G17" s="55"/>
      <c r="H17" s="55"/>
    </row>
    <row r="18" spans="1:8" ht="18" customHeight="1" x14ac:dyDescent="0.25">
      <c r="A18" s="70"/>
      <c r="B18" s="15"/>
      <c r="C18" s="15"/>
      <c r="D18" s="15"/>
      <c r="E18" s="15"/>
      <c r="F18" s="15"/>
      <c r="G18" s="15"/>
      <c r="H18" s="15"/>
    </row>
    <row r="19" spans="1:8" ht="18" customHeight="1" x14ac:dyDescent="0.25">
      <c r="A19" s="71"/>
      <c r="B19" s="55"/>
      <c r="C19" s="55"/>
      <c r="D19" s="55"/>
      <c r="E19" s="55"/>
      <c r="F19" s="55"/>
      <c r="G19" s="55"/>
      <c r="H19" s="55"/>
    </row>
    <row r="20" spans="1:8" ht="18" customHeight="1" x14ac:dyDescent="0.25">
      <c r="A20" s="70"/>
      <c r="B20" s="15"/>
      <c r="C20" s="15"/>
      <c r="D20" s="15"/>
      <c r="E20" s="15"/>
      <c r="F20" s="15"/>
      <c r="G20" s="15"/>
      <c r="H20" s="15"/>
    </row>
    <row r="21" spans="1:8" ht="18" customHeight="1" x14ac:dyDescent="0.25">
      <c r="A21" s="71"/>
      <c r="B21" s="55"/>
      <c r="C21" s="55"/>
      <c r="D21" s="55"/>
      <c r="E21" s="55"/>
      <c r="F21" s="55"/>
      <c r="G21" s="55"/>
      <c r="H21" s="55"/>
    </row>
    <row r="22" spans="1:8" ht="18" customHeight="1" x14ac:dyDescent="0.25">
      <c r="A22" s="70"/>
      <c r="B22" s="15"/>
      <c r="C22" s="15"/>
      <c r="D22" s="15"/>
      <c r="E22" s="15"/>
      <c r="F22" s="15"/>
      <c r="G22" s="15"/>
      <c r="H22" s="15"/>
    </row>
    <row r="23" spans="1:8" ht="18" customHeight="1" x14ac:dyDescent="0.25">
      <c r="A23" s="71"/>
      <c r="B23" s="55"/>
      <c r="C23" s="55"/>
      <c r="D23" s="55"/>
      <c r="E23" s="55"/>
      <c r="F23" s="55"/>
      <c r="G23" s="55"/>
      <c r="H23" s="55"/>
    </row>
    <row r="24" spans="1:8" ht="18" customHeight="1" x14ac:dyDescent="0.25">
      <c r="A24" s="70"/>
      <c r="B24" s="15"/>
      <c r="C24" s="15"/>
      <c r="D24" s="15"/>
      <c r="E24" s="15"/>
      <c r="F24" s="15"/>
      <c r="G24" s="15"/>
      <c r="H24" s="15"/>
    </row>
    <row r="25" spans="1:8" ht="18" customHeight="1" x14ac:dyDescent="0.25">
      <c r="A25" s="71"/>
      <c r="B25" s="55"/>
      <c r="C25" s="55"/>
      <c r="D25" s="55"/>
      <c r="E25" s="55"/>
      <c r="F25" s="55"/>
      <c r="G25" s="55"/>
      <c r="H25" s="55"/>
    </row>
    <row r="26" spans="1:8" ht="18" customHeight="1" x14ac:dyDescent="0.25">
      <c r="A26" s="70"/>
      <c r="B26" s="15"/>
      <c r="C26" s="15"/>
      <c r="D26" s="15"/>
      <c r="E26" s="15"/>
      <c r="F26" s="15"/>
      <c r="G26" s="15"/>
      <c r="H26" s="15"/>
    </row>
    <row r="27" spans="1:8" ht="18" customHeight="1" x14ac:dyDescent="0.25">
      <c r="A27" s="71"/>
      <c r="B27" s="55"/>
      <c r="C27" s="55"/>
      <c r="D27" s="55"/>
      <c r="E27" s="55"/>
      <c r="F27" s="55"/>
      <c r="G27" s="55"/>
      <c r="H27" s="55"/>
    </row>
    <row r="28" spans="1:8" ht="18" customHeight="1" x14ac:dyDescent="0.25">
      <c r="A28" s="70"/>
      <c r="B28" s="15"/>
      <c r="C28" s="15"/>
      <c r="D28" s="15"/>
      <c r="E28" s="15"/>
      <c r="F28" s="15"/>
      <c r="G28" s="15"/>
      <c r="H28" s="15"/>
    </row>
    <row r="29" spans="1:8" ht="18" customHeight="1" x14ac:dyDescent="0.25">
      <c r="A29" s="71"/>
      <c r="B29" s="55"/>
      <c r="C29" s="55"/>
      <c r="D29" s="55"/>
      <c r="E29" s="55"/>
      <c r="F29" s="55"/>
      <c r="G29" s="55"/>
      <c r="H29" s="55"/>
    </row>
    <row r="30" spans="1:8" ht="18" customHeight="1" x14ac:dyDescent="0.25">
      <c r="A30" s="70"/>
      <c r="B30" s="15"/>
      <c r="C30" s="15"/>
      <c r="D30" s="15"/>
      <c r="E30" s="15"/>
      <c r="F30" s="15"/>
      <c r="G30" s="15"/>
      <c r="H30" s="15"/>
    </row>
    <row r="31" spans="1:8" ht="18" customHeight="1" x14ac:dyDescent="0.25">
      <c r="A31" s="71"/>
      <c r="B31" s="55"/>
      <c r="C31" s="55"/>
      <c r="D31" s="55"/>
      <c r="E31" s="55"/>
      <c r="F31" s="55"/>
      <c r="G31" s="55"/>
      <c r="H31" s="55"/>
    </row>
    <row r="32" spans="1:8" ht="18" customHeight="1" x14ac:dyDescent="0.25">
      <c r="A32" s="70"/>
      <c r="B32" s="15"/>
      <c r="C32" s="15"/>
      <c r="D32" s="15"/>
      <c r="E32" s="15"/>
      <c r="F32" s="15"/>
      <c r="G32" s="15"/>
      <c r="H32" s="15"/>
    </row>
    <row r="33" spans="1:8" ht="18" customHeight="1" x14ac:dyDescent="0.25">
      <c r="A33" s="71"/>
      <c r="B33" s="55"/>
      <c r="C33" s="55"/>
      <c r="D33" s="55"/>
      <c r="E33" s="55"/>
      <c r="F33" s="55"/>
      <c r="G33" s="55"/>
      <c r="H33" s="55"/>
    </row>
    <row r="34" spans="1:8" ht="18" customHeight="1" x14ac:dyDescent="0.25">
      <c r="A34" s="70"/>
      <c r="B34" s="15"/>
      <c r="C34" s="15"/>
      <c r="D34" s="15"/>
      <c r="E34" s="15"/>
      <c r="F34" s="15"/>
      <c r="G34" s="15"/>
      <c r="H34" s="15"/>
    </row>
    <row r="35" spans="1:8" ht="18" customHeight="1" x14ac:dyDescent="0.25">
      <c r="A35" s="71"/>
      <c r="B35" s="55"/>
      <c r="C35" s="55"/>
      <c r="D35" s="55"/>
      <c r="E35" s="55"/>
      <c r="F35" s="55"/>
      <c r="G35" s="55"/>
      <c r="H35" s="55"/>
    </row>
    <row r="36" spans="1:8" ht="18" customHeight="1" x14ac:dyDescent="0.25">
      <c r="A36" s="70"/>
      <c r="B36" s="15"/>
      <c r="C36" s="15"/>
      <c r="D36" s="15"/>
      <c r="E36" s="15"/>
      <c r="F36" s="15"/>
      <c r="G36" s="15"/>
      <c r="H36" s="15"/>
    </row>
    <row r="37" spans="1:8" ht="18" customHeight="1" x14ac:dyDescent="0.25">
      <c r="A37" s="71"/>
      <c r="B37" s="55"/>
      <c r="C37" s="55"/>
      <c r="D37" s="55"/>
      <c r="E37" s="55"/>
      <c r="F37" s="55"/>
      <c r="G37" s="55"/>
      <c r="H37" s="55"/>
    </row>
    <row r="38" spans="1:8" ht="18" customHeight="1" x14ac:dyDescent="0.25">
      <c r="A38" s="70"/>
      <c r="B38" s="15"/>
      <c r="C38" s="15"/>
      <c r="D38" s="15"/>
      <c r="E38" s="15"/>
      <c r="F38" s="15"/>
      <c r="G38" s="15"/>
      <c r="H38" s="15"/>
    </row>
    <row r="39" spans="1:8" ht="18" customHeight="1" x14ac:dyDescent="0.25">
      <c r="A39" s="71"/>
      <c r="B39" s="55"/>
      <c r="C39" s="55"/>
      <c r="D39" s="55"/>
      <c r="E39" s="55"/>
      <c r="F39" s="55"/>
      <c r="G39" s="55"/>
      <c r="H39" s="55"/>
    </row>
    <row r="40" spans="1:8" ht="18" customHeight="1" x14ac:dyDescent="0.25">
      <c r="A40" s="70"/>
      <c r="B40" s="15"/>
      <c r="C40" s="15"/>
      <c r="D40" s="15"/>
      <c r="E40" s="15"/>
      <c r="F40" s="15"/>
      <c r="G40" s="15"/>
      <c r="H40" s="15"/>
    </row>
    <row r="41" spans="1:8" ht="18" customHeight="1" x14ac:dyDescent="0.25">
      <c r="A41" s="71"/>
      <c r="B41" s="55"/>
      <c r="C41" s="55"/>
      <c r="D41" s="55"/>
      <c r="E41" s="55"/>
      <c r="F41" s="55"/>
      <c r="G41" s="55"/>
      <c r="H41" s="55"/>
    </row>
    <row r="42" spans="1:8" ht="18" customHeight="1" x14ac:dyDescent="0.25">
      <c r="A42" s="70"/>
      <c r="B42" s="15"/>
      <c r="C42" s="15"/>
      <c r="D42" s="15"/>
      <c r="E42" s="15"/>
      <c r="F42" s="15"/>
      <c r="G42" s="15"/>
      <c r="H42" s="15"/>
    </row>
    <row r="43" spans="1:8" ht="18" customHeight="1" x14ac:dyDescent="0.25">
      <c r="A43" s="71"/>
      <c r="B43" s="55"/>
      <c r="C43" s="55"/>
      <c r="D43" s="55"/>
      <c r="E43" s="55"/>
      <c r="F43" s="55"/>
      <c r="G43" s="55"/>
      <c r="H43" s="55"/>
    </row>
    <row r="44" spans="1:8" ht="18" customHeight="1" x14ac:dyDescent="0.25">
      <c r="A44" s="70"/>
      <c r="B44" s="15"/>
      <c r="C44" s="15"/>
      <c r="D44" s="15"/>
      <c r="E44" s="15"/>
      <c r="F44" s="15"/>
      <c r="G44" s="15"/>
      <c r="H44" s="15"/>
    </row>
    <row r="45" spans="1:8" ht="18" customHeight="1" x14ac:dyDescent="0.25">
      <c r="A45" s="71"/>
      <c r="B45" s="55"/>
      <c r="C45" s="55"/>
      <c r="D45" s="55"/>
      <c r="E45" s="55"/>
      <c r="F45" s="55"/>
      <c r="G45" s="55"/>
      <c r="H45" s="55"/>
    </row>
    <row r="46" spans="1:8" ht="18" customHeight="1" x14ac:dyDescent="0.25">
      <c r="A46" s="70"/>
      <c r="B46" s="15"/>
      <c r="C46" s="15"/>
      <c r="D46" s="15"/>
      <c r="E46" s="15"/>
      <c r="F46" s="15"/>
      <c r="G46" s="15"/>
      <c r="H46" s="15"/>
    </row>
    <row r="47" spans="1:8" ht="18" customHeight="1" x14ac:dyDescent="0.25">
      <c r="A47" s="71"/>
      <c r="B47" s="55"/>
      <c r="C47" s="55"/>
      <c r="D47" s="55"/>
      <c r="E47" s="55"/>
      <c r="F47" s="55"/>
      <c r="G47" s="55"/>
      <c r="H47" s="55"/>
    </row>
    <row r="48" spans="1:8" ht="18" customHeight="1" x14ac:dyDescent="0.25">
      <c r="A48" s="70"/>
      <c r="B48" s="15"/>
      <c r="C48" s="15"/>
      <c r="D48" s="15"/>
      <c r="E48" s="15"/>
      <c r="F48" s="15"/>
      <c r="G48" s="15"/>
      <c r="H48" s="15"/>
    </row>
    <row r="49" spans="1:8" ht="18" customHeight="1" x14ac:dyDescent="0.25">
      <c r="A49" s="71"/>
      <c r="B49" s="55"/>
      <c r="C49" s="55"/>
      <c r="D49" s="55"/>
      <c r="E49" s="55"/>
      <c r="F49" s="55"/>
      <c r="G49" s="55"/>
      <c r="H49" s="55"/>
    </row>
    <row r="50" spans="1:8" ht="18" customHeight="1" x14ac:dyDescent="0.25">
      <c r="A50" s="70"/>
      <c r="B50" s="15"/>
      <c r="C50" s="15"/>
      <c r="D50" s="15"/>
      <c r="E50" s="15"/>
      <c r="F50" s="15"/>
      <c r="G50" s="15"/>
      <c r="H50" s="15"/>
    </row>
    <row r="51" spans="1:8" ht="18" customHeight="1" x14ac:dyDescent="0.25">
      <c r="A51" s="71"/>
      <c r="B51" s="55"/>
      <c r="C51" s="55"/>
      <c r="D51" s="55"/>
      <c r="E51" s="55"/>
      <c r="F51" s="55"/>
      <c r="G51" s="55"/>
      <c r="H51" s="55"/>
    </row>
    <row r="52" spans="1:8" ht="18" customHeight="1" x14ac:dyDescent="0.25">
      <c r="A52" s="70"/>
      <c r="B52" s="15"/>
      <c r="C52" s="15"/>
      <c r="D52" s="15"/>
      <c r="E52" s="15"/>
      <c r="F52" s="15"/>
      <c r="G52" s="15"/>
      <c r="H52" s="15"/>
    </row>
    <row r="53" spans="1:8" ht="18" customHeight="1" x14ac:dyDescent="0.25">
      <c r="A53" s="71"/>
      <c r="B53" s="55"/>
      <c r="C53" s="55"/>
      <c r="D53" s="55"/>
      <c r="E53" s="55"/>
      <c r="F53" s="55"/>
      <c r="G53" s="55"/>
      <c r="H53" s="55"/>
    </row>
  </sheetData>
  <mergeCells count="2">
    <mergeCell ref="A1:H1"/>
    <mergeCell ref="A2:H2"/>
  </mergeCell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980B9"/>
  </sheetPr>
  <dimension ref="A1:J114"/>
  <sheetViews>
    <sheetView zoomScaleNormal="100" workbookViewId="0">
      <pane ySplit="3" topLeftCell="A19" activePane="bottomLeft" state="frozen"/>
      <selection pane="bottomLeft" activeCell="B15" sqref="B15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342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Assumptions!A29</f>
        <v>The Parks MC</v>
      </c>
    </row>
    <row r="6" spans="1:10" ht="18" customHeight="1" x14ac:dyDescent="0.25">
      <c r="A6" s="13" t="s">
        <v>55</v>
      </c>
      <c r="B6" s="57">
        <f>Assumptions!B29</f>
        <v>22827</v>
      </c>
    </row>
    <row r="7" spans="1:10" ht="18" customHeight="1" x14ac:dyDescent="0.25">
      <c r="A7" s="13" t="s">
        <v>345</v>
      </c>
      <c r="B7" s="13" t="s">
        <v>60</v>
      </c>
    </row>
    <row r="8" spans="1:10" ht="18" customHeight="1" x14ac:dyDescent="0.25">
      <c r="A8" s="13" t="s">
        <v>57</v>
      </c>
      <c r="B8" s="13" t="s">
        <v>61</v>
      </c>
    </row>
    <row r="9" spans="1:10" ht="18" customHeight="1" x14ac:dyDescent="0.25">
      <c r="A9" s="13" t="s">
        <v>346</v>
      </c>
      <c r="B9" s="58">
        <f>Assumptions!E29</f>
        <v>0.25481112698696196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Allocations'!D4</f>
        <v>601034.90999999992</v>
      </c>
    </row>
    <row r="14" spans="1:10" ht="18" customHeight="1" x14ac:dyDescent="0.25">
      <c r="A14" s="13" t="s">
        <v>349</v>
      </c>
      <c r="B14" s="33">
        <f>'Practice Allocations'!E4</f>
        <v>50086.242499999993</v>
      </c>
    </row>
    <row r="15" spans="1:10" ht="18" customHeight="1" x14ac:dyDescent="0.25">
      <c r="A15" s="13" t="s">
        <v>350</v>
      </c>
      <c r="B15" s="33">
        <f>'Practice Allocations'!F4</f>
        <v>450776.18249999994</v>
      </c>
    </row>
    <row r="16" spans="1:10" ht="18" customHeight="1" x14ac:dyDescent="0.25">
      <c r="A16" s="13" t="s">
        <v>351</v>
      </c>
      <c r="B16" s="33">
        <f>'Practice Allocations'!D4*Assumptions!B16</f>
        <v>150258.72749999998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Allocations'!G4</f>
        <v>346.97039999999998</v>
      </c>
      <c r="D20" s="74">
        <f>'Practice Allocations'!H4</f>
        <v>173.48519999999999</v>
      </c>
      <c r="E20" s="74">
        <f>'Practice Allocations'!I4</f>
        <v>173.48519999999999</v>
      </c>
      <c r="F20" s="75">
        <f>B20*C20</f>
        <v>13531.845599999999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Allocations'!J4</f>
        <v>415.45140000000004</v>
      </c>
      <c r="D21" s="78">
        <f>'Practice Allocations'!K4</f>
        <v>207.72570000000002</v>
      </c>
      <c r="E21" s="78">
        <f>'Practice Allocations'!L4</f>
        <v>207.72570000000002</v>
      </c>
      <c r="F21" s="54">
        <f>B21*C21</f>
        <v>5400.8682000000008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Allocations'!M4</f>
        <v>18932.713799999998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346.97039999999998</v>
      </c>
      <c r="D26" s="60"/>
      <c r="E26" s="60"/>
      <c r="F26" s="57">
        <f t="shared" ref="F26:F38" si="0">D26+E26</f>
        <v>0</v>
      </c>
      <c r="G26" s="38">
        <f t="shared" ref="G26:G39" si="1">F26-C26</f>
        <v>-346.97039999999998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346.97039999999998</v>
      </c>
      <c r="D27" s="60"/>
      <c r="E27" s="60"/>
      <c r="F27" s="57">
        <f t="shared" si="0"/>
        <v>0</v>
      </c>
      <c r="G27" s="38">
        <f t="shared" si="1"/>
        <v>-346.97039999999998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346.97039999999998</v>
      </c>
      <c r="D28" s="60"/>
      <c r="E28" s="60"/>
      <c r="F28" s="57">
        <f t="shared" si="0"/>
        <v>0</v>
      </c>
      <c r="G28" s="38">
        <f t="shared" si="1"/>
        <v>-346.97039999999998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346.97039999999998</v>
      </c>
      <c r="D29" s="60"/>
      <c r="E29" s="60"/>
      <c r="F29" s="57">
        <f t="shared" si="0"/>
        <v>0</v>
      </c>
      <c r="G29" s="38">
        <f t="shared" si="1"/>
        <v>-346.97039999999998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346.97039999999998</v>
      </c>
      <c r="D30" s="60"/>
      <c r="E30" s="60"/>
      <c r="F30" s="57">
        <f t="shared" si="0"/>
        <v>0</v>
      </c>
      <c r="G30" s="38">
        <f t="shared" si="1"/>
        <v>-346.97039999999998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346.97039999999998</v>
      </c>
      <c r="D31" s="60"/>
      <c r="E31" s="60"/>
      <c r="F31" s="57">
        <f t="shared" si="0"/>
        <v>0</v>
      </c>
      <c r="G31" s="38">
        <f t="shared" si="1"/>
        <v>-346.97039999999998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346.97039999999998</v>
      </c>
      <c r="D32" s="60"/>
      <c r="E32" s="60"/>
      <c r="F32" s="57">
        <f t="shared" si="0"/>
        <v>0</v>
      </c>
      <c r="G32" s="38">
        <f t="shared" si="1"/>
        <v>-346.97039999999998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346.97039999999998</v>
      </c>
      <c r="D33" s="60"/>
      <c r="E33" s="60"/>
      <c r="F33" s="57">
        <f t="shared" si="0"/>
        <v>0</v>
      </c>
      <c r="G33" s="38">
        <f t="shared" si="1"/>
        <v>-346.97039999999998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346.97039999999998</v>
      </c>
      <c r="D34" s="60"/>
      <c r="E34" s="60"/>
      <c r="F34" s="57">
        <f t="shared" si="0"/>
        <v>0</v>
      </c>
      <c r="G34" s="38">
        <f t="shared" si="1"/>
        <v>-346.97039999999998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346.97039999999998</v>
      </c>
      <c r="D35" s="60"/>
      <c r="E35" s="60"/>
      <c r="F35" s="57">
        <f t="shared" si="0"/>
        <v>0</v>
      </c>
      <c r="G35" s="38">
        <f t="shared" si="1"/>
        <v>-346.97039999999998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346.97039999999998</v>
      </c>
      <c r="D36" s="60"/>
      <c r="E36" s="60"/>
      <c r="F36" s="57">
        <f t="shared" si="0"/>
        <v>0</v>
      </c>
      <c r="G36" s="38">
        <f t="shared" si="1"/>
        <v>-346.97039999999998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346.97039999999998</v>
      </c>
      <c r="D37" s="60"/>
      <c r="E37" s="60"/>
      <c r="F37" s="57">
        <f t="shared" si="0"/>
        <v>0</v>
      </c>
      <c r="G37" s="38">
        <f t="shared" si="1"/>
        <v>-346.97039999999998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346.97039999999998</v>
      </c>
      <c r="D38" s="60"/>
      <c r="E38" s="60"/>
      <c r="F38" s="57">
        <f t="shared" si="0"/>
        <v>0</v>
      </c>
      <c r="G38" s="38">
        <f t="shared" si="1"/>
        <v>-346.97039999999998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4510.6152000000011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-4510.6152000000011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65"/>
      <c r="B44" s="65"/>
      <c r="C44" s="65"/>
      <c r="D44" s="60"/>
      <c r="E44" s="60"/>
      <c r="F44" s="26" t="str">
        <f t="shared" ref="F44:F53" si="3">IF(D44="","",D44*E44)</f>
        <v/>
      </c>
      <c r="G44" s="61"/>
      <c r="H44" s="36" t="str">
        <f t="shared" ref="H44:H53" si="4">IF(D44="","",D44*G44)</f>
        <v/>
      </c>
      <c r="I44" s="36" t="str">
        <f>IF(H44="","",H44*Assumptions!B17)</f>
        <v/>
      </c>
      <c r="J44" s="33" t="str">
        <f t="shared" ref="J44:J53" si="5">IF(H44="","",H44+I44)</f>
        <v/>
      </c>
    </row>
    <row r="45" spans="1:10" ht="18" customHeight="1" x14ac:dyDescent="0.25">
      <c r="A45" s="65"/>
      <c r="B45" s="65"/>
      <c r="C45" s="65"/>
      <c r="D45" s="60"/>
      <c r="E45" s="60"/>
      <c r="F45" s="26" t="str">
        <f t="shared" si="3"/>
        <v/>
      </c>
      <c r="G45" s="61"/>
      <c r="H45" s="36" t="str">
        <f t="shared" si="4"/>
        <v/>
      </c>
      <c r="I45" s="36" t="str">
        <f>IF(H45="","",H45*Assumptions!B17)</f>
        <v/>
      </c>
      <c r="J45" s="33" t="str">
        <f t="shared" si="5"/>
        <v/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0</v>
      </c>
      <c r="E54" s="30"/>
      <c r="F54" s="29">
        <f>SUM(F44:F53)</f>
        <v>0</v>
      </c>
      <c r="G54" s="30"/>
      <c r="H54" s="39">
        <f>SUM(H44:H53)</f>
        <v>0</v>
      </c>
      <c r="I54" s="39">
        <f>SUM(I44:I53)</f>
        <v>0</v>
      </c>
      <c r="J54" s="39">
        <f>SUM(J44:J53)</f>
        <v>0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65"/>
      <c r="B58" s="65"/>
      <c r="C58" s="60"/>
      <c r="D58" s="61"/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62"/>
      <c r="I58" s="33" t="str">
        <f>IF(G58="","",G58*H58)</f>
        <v/>
      </c>
      <c r="J58" s="65"/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Allocations'!E4</f>
        <v>50086.242499999993</v>
      </c>
      <c r="C67" s="36">
        <f>B67*1</f>
        <v>50086.242499999993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50086.242499999993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Allocations'!E4</f>
        <v>50086.242499999993</v>
      </c>
      <c r="C68" s="36">
        <f>B68*2</f>
        <v>100172.48499999999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100172.48499999999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Allocations'!E4</f>
        <v>50086.242499999993</v>
      </c>
      <c r="C69" s="36">
        <f>B69*3</f>
        <v>150258.72749999998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150258.72749999998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Allocations'!E4</f>
        <v>50086.242499999993</v>
      </c>
      <c r="C70" s="36">
        <f>B70*4</f>
        <v>200344.96999999997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200344.96999999997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Allocations'!E4</f>
        <v>50086.242499999993</v>
      </c>
      <c r="C71" s="36">
        <f>B71*5</f>
        <v>250431.21249999997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250431.21249999997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Allocations'!E4</f>
        <v>50086.242499999993</v>
      </c>
      <c r="C72" s="36">
        <f>B72*6</f>
        <v>300517.45499999996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300517.45499999996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Allocations'!E4</f>
        <v>50086.242499999993</v>
      </c>
      <c r="C73" s="36">
        <f>B73*7</f>
        <v>350603.69749999995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350603.69749999995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Allocations'!E4</f>
        <v>50086.242499999993</v>
      </c>
      <c r="C74" s="36">
        <f>B74*8</f>
        <v>400689.93999999994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400689.93999999994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Allocations'!E4</f>
        <v>50086.242499999993</v>
      </c>
      <c r="C75" s="36">
        <f>B75*9</f>
        <v>450776.18249999994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450776.18249999994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Allocations'!E4</f>
        <v>50086.242499999993</v>
      </c>
      <c r="C76" s="36">
        <f>B76*10</f>
        <v>500862.42499999993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500862.42499999993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Allocations'!E4</f>
        <v>50086.242499999993</v>
      </c>
      <c r="C77" s="36">
        <f>B77*11</f>
        <v>550948.66749999998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550948.66749999998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Allocations'!E4</f>
        <v>50086.242499999993</v>
      </c>
      <c r="C78" s="36">
        <f>B78*12</f>
        <v>601034.90999999992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601034.90999999992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601034.90999999992</v>
      </c>
      <c r="C79" s="39">
        <f>C78</f>
        <v>601034.90999999992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601034.90999999992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18932.713799999998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346.97039999999998</v>
      </c>
    </row>
    <row r="87" spans="1:10" ht="18" customHeight="1" x14ac:dyDescent="0.25">
      <c r="A87" s="13" t="s">
        <v>389</v>
      </c>
      <c r="B87" s="37">
        <f>B85-B86</f>
        <v>-346.97039999999998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NO — Below 50%</v>
      </c>
    </row>
    <row r="90" spans="1:10" ht="18" customHeight="1" x14ac:dyDescent="0.25">
      <c r="A90" s="13" t="s">
        <v>392</v>
      </c>
      <c r="B90" s="33">
        <f>J54</f>
        <v>0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0</v>
      </c>
    </row>
    <row r="93" spans="1:10" ht="18" customHeight="1" x14ac:dyDescent="0.25">
      <c r="A93" s="13" t="s">
        <v>395</v>
      </c>
      <c r="B93" s="33">
        <f>'Practice Allocations'!D4-B94</f>
        <v>601034.90999999992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65"/>
      <c r="B97" s="65"/>
      <c r="C97" s="65"/>
      <c r="D97" s="61"/>
      <c r="E97" s="65"/>
      <c r="F97" s="65"/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79"/>
      <c r="B105" s="65"/>
      <c r="C105" s="65"/>
      <c r="D105" s="65"/>
      <c r="E105" s="79"/>
      <c r="F105" s="15"/>
      <c r="G105" s="15"/>
      <c r="H105" s="15"/>
      <c r="I105" s="15"/>
      <c r="J105" s="15"/>
    </row>
    <row r="106" spans="1:10" ht="18" customHeight="1" x14ac:dyDescent="0.25">
      <c r="A106" s="79"/>
      <c r="B106" s="65"/>
      <c r="C106" s="65"/>
      <c r="D106" s="65"/>
      <c r="E106" s="79"/>
      <c r="F106" s="55"/>
      <c r="G106" s="55"/>
      <c r="H106" s="55"/>
      <c r="I106" s="55"/>
      <c r="J106" s="55"/>
    </row>
    <row r="107" spans="1:10" ht="18" customHeight="1" x14ac:dyDescent="0.25">
      <c r="A107" s="79"/>
      <c r="B107" s="65"/>
      <c r="C107" s="65"/>
      <c r="D107" s="65"/>
      <c r="E107" s="79"/>
      <c r="F107" s="15"/>
      <c r="G107" s="15"/>
      <c r="H107" s="15"/>
      <c r="I107" s="15"/>
      <c r="J107" s="15"/>
    </row>
    <row r="108" spans="1:10" ht="18" customHeight="1" x14ac:dyDescent="0.25">
      <c r="A108" s="79"/>
      <c r="B108" s="65"/>
      <c r="C108" s="65"/>
      <c r="D108" s="65"/>
      <c r="E108" s="79"/>
      <c r="F108" s="55"/>
      <c r="G108" s="55"/>
      <c r="H108" s="55"/>
      <c r="I108" s="55"/>
      <c r="J108" s="55"/>
    </row>
    <row r="109" spans="1:10" ht="18" customHeight="1" x14ac:dyDescent="0.25">
      <c r="A109" s="79"/>
      <c r="B109" s="65"/>
      <c r="C109" s="65"/>
      <c r="D109" s="65"/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0B00-000000000000}">
      <formula1>"New SDA,Buy-Back,Existing (Buy-Back Pending)"</formula1>
      <formula2>0</formula2>
    </dataValidation>
    <dataValidation type="list" allowBlank="1" sqref="J58:J62" xr:uid="{00000000-0002-0000-0B00-000001000000}">
      <formula1>"Draft,Submitted,Under Review,Approved,Rejected"</formula1>
      <formula2>0</formula2>
    </dataValidation>
    <dataValidation type="list" allowBlank="1" sqref="F97:F101" xr:uid="{00000000-0002-0000-0B00-000002000000}">
      <formula1>"Planned,Recruiting,In Post,Delayed,Not Started"</formula1>
      <formula2>0</formula2>
    </dataValidation>
    <dataValidation type="list" allowBlank="1" sqref="D105:D114" xr:uid="{00000000-0002-0000-0B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7AE60"/>
  </sheetPr>
  <dimension ref="A1:J1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406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Assumptions!A30</f>
        <v>Brackley MC</v>
      </c>
    </row>
    <row r="6" spans="1:10" ht="18" customHeight="1" x14ac:dyDescent="0.25">
      <c r="A6" s="13" t="s">
        <v>55</v>
      </c>
      <c r="B6" s="57">
        <f>Assumptions!B30</f>
        <v>16212</v>
      </c>
    </row>
    <row r="7" spans="1:10" ht="18" customHeight="1" x14ac:dyDescent="0.25">
      <c r="A7" s="13" t="s">
        <v>345</v>
      </c>
      <c r="B7" s="13" t="s">
        <v>60</v>
      </c>
    </row>
    <row r="8" spans="1:10" ht="18" customHeight="1" x14ac:dyDescent="0.25">
      <c r="A8" s="13" t="s">
        <v>57</v>
      </c>
      <c r="B8" s="13" t="s">
        <v>61</v>
      </c>
    </row>
    <row r="9" spans="1:10" ht="18" customHeight="1" x14ac:dyDescent="0.25">
      <c r="A9" s="13" t="s">
        <v>346</v>
      </c>
      <c r="B9" s="58">
        <f>Assumptions!E30</f>
        <v>0.18096981603857831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Allocations'!D5</f>
        <v>426861.95999999996</v>
      </c>
    </row>
    <row r="14" spans="1:10" ht="18" customHeight="1" x14ac:dyDescent="0.25">
      <c r="A14" s="13" t="s">
        <v>349</v>
      </c>
      <c r="B14" s="33">
        <f>'Practice Allocations'!E5</f>
        <v>35571.829999999994</v>
      </c>
    </row>
    <row r="15" spans="1:10" ht="18" customHeight="1" x14ac:dyDescent="0.25">
      <c r="A15" s="13" t="s">
        <v>350</v>
      </c>
      <c r="B15" s="33">
        <f>'Practice Allocations'!F5</f>
        <v>320146.46999999997</v>
      </c>
    </row>
    <row r="16" spans="1:10" ht="18" customHeight="1" x14ac:dyDescent="0.25">
      <c r="A16" s="13" t="s">
        <v>351</v>
      </c>
      <c r="B16" s="33">
        <f>'Practice Allocations'!D5*Assumptions!B16</f>
        <v>106715.48999999999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Allocations'!G5</f>
        <v>246.42239999999998</v>
      </c>
      <c r="D20" s="74">
        <f>'Practice Allocations'!H5</f>
        <v>123.21119999999999</v>
      </c>
      <c r="E20" s="74">
        <f>'Practice Allocations'!I5</f>
        <v>123.21119999999999</v>
      </c>
      <c r="F20" s="75">
        <f>B20*C20</f>
        <v>9610.4735999999994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Allocations'!J5</f>
        <v>295.05840000000001</v>
      </c>
      <c r="D21" s="78">
        <f>'Practice Allocations'!K5</f>
        <v>147.5292</v>
      </c>
      <c r="E21" s="78">
        <f>'Practice Allocations'!L5</f>
        <v>147.5292</v>
      </c>
      <c r="F21" s="54">
        <f>B21*C21</f>
        <v>3835.7592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Allocations'!M5</f>
        <v>13446.2328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246.42239999999998</v>
      </c>
      <c r="D26" s="60"/>
      <c r="E26" s="60"/>
      <c r="F26" s="57">
        <f t="shared" ref="F26:F38" si="0">D26+E26</f>
        <v>0</v>
      </c>
      <c r="G26" s="38">
        <f t="shared" ref="G26:G39" si="1">F26-C26</f>
        <v>-246.42239999999998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246.42239999999998</v>
      </c>
      <c r="D27" s="60"/>
      <c r="E27" s="60"/>
      <c r="F27" s="57">
        <f t="shared" si="0"/>
        <v>0</v>
      </c>
      <c r="G27" s="38">
        <f t="shared" si="1"/>
        <v>-246.42239999999998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246.42239999999998</v>
      </c>
      <c r="D28" s="60"/>
      <c r="E28" s="60"/>
      <c r="F28" s="57">
        <f t="shared" si="0"/>
        <v>0</v>
      </c>
      <c r="G28" s="38">
        <f t="shared" si="1"/>
        <v>-246.42239999999998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246.42239999999998</v>
      </c>
      <c r="D29" s="60"/>
      <c r="E29" s="60"/>
      <c r="F29" s="57">
        <f t="shared" si="0"/>
        <v>0</v>
      </c>
      <c r="G29" s="38">
        <f t="shared" si="1"/>
        <v>-246.42239999999998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246.42239999999998</v>
      </c>
      <c r="D30" s="60"/>
      <c r="E30" s="60"/>
      <c r="F30" s="57">
        <f t="shared" si="0"/>
        <v>0</v>
      </c>
      <c r="G30" s="38">
        <f t="shared" si="1"/>
        <v>-246.42239999999998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246.42239999999998</v>
      </c>
      <c r="D31" s="60"/>
      <c r="E31" s="60"/>
      <c r="F31" s="57">
        <f t="shared" si="0"/>
        <v>0</v>
      </c>
      <c r="G31" s="38">
        <f t="shared" si="1"/>
        <v>-246.42239999999998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246.42239999999998</v>
      </c>
      <c r="D32" s="60"/>
      <c r="E32" s="60"/>
      <c r="F32" s="57">
        <f t="shared" si="0"/>
        <v>0</v>
      </c>
      <c r="G32" s="38">
        <f t="shared" si="1"/>
        <v>-246.42239999999998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246.42239999999998</v>
      </c>
      <c r="D33" s="60"/>
      <c r="E33" s="60"/>
      <c r="F33" s="57">
        <f t="shared" si="0"/>
        <v>0</v>
      </c>
      <c r="G33" s="38">
        <f t="shared" si="1"/>
        <v>-246.42239999999998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246.42239999999998</v>
      </c>
      <c r="D34" s="60"/>
      <c r="E34" s="60"/>
      <c r="F34" s="57">
        <f t="shared" si="0"/>
        <v>0</v>
      </c>
      <c r="G34" s="38">
        <f t="shared" si="1"/>
        <v>-246.42239999999998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246.42239999999998</v>
      </c>
      <c r="D35" s="60"/>
      <c r="E35" s="60"/>
      <c r="F35" s="57">
        <f t="shared" si="0"/>
        <v>0</v>
      </c>
      <c r="G35" s="38">
        <f t="shared" si="1"/>
        <v>-246.42239999999998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246.42239999999998</v>
      </c>
      <c r="D36" s="60"/>
      <c r="E36" s="60"/>
      <c r="F36" s="57">
        <f t="shared" si="0"/>
        <v>0</v>
      </c>
      <c r="G36" s="38">
        <f t="shared" si="1"/>
        <v>-246.42239999999998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246.42239999999998</v>
      </c>
      <c r="D37" s="60"/>
      <c r="E37" s="60"/>
      <c r="F37" s="57">
        <f t="shared" si="0"/>
        <v>0</v>
      </c>
      <c r="G37" s="38">
        <f t="shared" si="1"/>
        <v>-246.42239999999998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246.42239999999998</v>
      </c>
      <c r="D38" s="60"/>
      <c r="E38" s="60"/>
      <c r="F38" s="57">
        <f t="shared" si="0"/>
        <v>0</v>
      </c>
      <c r="G38" s="38">
        <f t="shared" si="1"/>
        <v>-246.42239999999998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3203.4911999999995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-3203.4911999999995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65"/>
      <c r="B44" s="65"/>
      <c r="C44" s="65"/>
      <c r="D44" s="60"/>
      <c r="E44" s="60"/>
      <c r="F44" s="26" t="str">
        <f t="shared" ref="F44:F53" si="3">IF(D44="","",D44*E44)</f>
        <v/>
      </c>
      <c r="G44" s="61"/>
      <c r="H44" s="36" t="str">
        <f t="shared" ref="H44:H53" si="4">IF(D44="","",D44*G44)</f>
        <v/>
      </c>
      <c r="I44" s="36" t="str">
        <f>IF(H44="","",H44*Assumptions!B17)</f>
        <v/>
      </c>
      <c r="J44" s="33" t="str">
        <f t="shared" ref="J44:J53" si="5">IF(H44="","",H44+I44)</f>
        <v/>
      </c>
    </row>
    <row r="45" spans="1:10" ht="18" customHeight="1" x14ac:dyDescent="0.25">
      <c r="A45" s="65"/>
      <c r="B45" s="65"/>
      <c r="C45" s="65"/>
      <c r="D45" s="60"/>
      <c r="E45" s="60"/>
      <c r="F45" s="26" t="str">
        <f t="shared" si="3"/>
        <v/>
      </c>
      <c r="G45" s="61"/>
      <c r="H45" s="36" t="str">
        <f t="shared" si="4"/>
        <v/>
      </c>
      <c r="I45" s="36" t="str">
        <f>IF(H45="","",H45*Assumptions!B17)</f>
        <v/>
      </c>
      <c r="J45" s="33" t="str">
        <f t="shared" si="5"/>
        <v/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0</v>
      </c>
      <c r="E54" s="30"/>
      <c r="F54" s="29">
        <f>SUM(F44:F53)</f>
        <v>0</v>
      </c>
      <c r="G54" s="30"/>
      <c r="H54" s="39">
        <f>SUM(H44:H53)</f>
        <v>0</v>
      </c>
      <c r="I54" s="39">
        <f>SUM(I44:I53)</f>
        <v>0</v>
      </c>
      <c r="J54" s="39">
        <f>SUM(J44:J53)</f>
        <v>0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65"/>
      <c r="B58" s="65"/>
      <c r="C58" s="60"/>
      <c r="D58" s="61"/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62"/>
      <c r="I58" s="33" t="str">
        <f>IF(G58="","",G58*H58)</f>
        <v/>
      </c>
      <c r="J58" s="65"/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Allocations'!E5</f>
        <v>35571.829999999994</v>
      </c>
      <c r="C67" s="36">
        <f>B67*1</f>
        <v>35571.829999999994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35571.829999999994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Allocations'!E5</f>
        <v>35571.829999999994</v>
      </c>
      <c r="C68" s="36">
        <f>B68*2</f>
        <v>71143.659999999989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71143.659999999989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Allocations'!E5</f>
        <v>35571.829999999994</v>
      </c>
      <c r="C69" s="36">
        <f>B69*3</f>
        <v>106715.48999999999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106715.48999999999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Allocations'!E5</f>
        <v>35571.829999999994</v>
      </c>
      <c r="C70" s="36">
        <f>B70*4</f>
        <v>142287.31999999998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142287.31999999998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Allocations'!E5</f>
        <v>35571.829999999994</v>
      </c>
      <c r="C71" s="36">
        <f>B71*5</f>
        <v>177859.14999999997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177859.14999999997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Allocations'!E5</f>
        <v>35571.829999999994</v>
      </c>
      <c r="C72" s="36">
        <f>B72*6</f>
        <v>213430.97999999998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213430.97999999998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Allocations'!E5</f>
        <v>35571.829999999994</v>
      </c>
      <c r="C73" s="36">
        <f>B73*7</f>
        <v>249002.80999999997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249002.80999999997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Allocations'!E5</f>
        <v>35571.829999999994</v>
      </c>
      <c r="C74" s="36">
        <f>B74*8</f>
        <v>284574.63999999996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284574.63999999996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Allocations'!E5</f>
        <v>35571.829999999994</v>
      </c>
      <c r="C75" s="36">
        <f>B75*9</f>
        <v>320146.46999999997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320146.46999999997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Allocations'!E5</f>
        <v>35571.829999999994</v>
      </c>
      <c r="C76" s="36">
        <f>B76*10</f>
        <v>355718.29999999993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355718.29999999993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Allocations'!E5</f>
        <v>35571.829999999994</v>
      </c>
      <c r="C77" s="36">
        <f>B77*11</f>
        <v>391290.12999999995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391290.12999999995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Allocations'!E5</f>
        <v>35571.829999999994</v>
      </c>
      <c r="C78" s="36">
        <f>B78*12</f>
        <v>426861.95999999996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426861.95999999996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426861.96</v>
      </c>
      <c r="C79" s="39">
        <f>C78</f>
        <v>426861.95999999996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426861.95999999996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13446.2328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246.42239999999998</v>
      </c>
    </row>
    <row r="87" spans="1:10" ht="18" customHeight="1" x14ac:dyDescent="0.25">
      <c r="A87" s="13" t="s">
        <v>389</v>
      </c>
      <c r="B87" s="37">
        <f>B85-B86</f>
        <v>-246.42239999999998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NO — Below 50%</v>
      </c>
    </row>
    <row r="90" spans="1:10" ht="18" customHeight="1" x14ac:dyDescent="0.25">
      <c r="A90" s="13" t="s">
        <v>392</v>
      </c>
      <c r="B90" s="33">
        <f>J54</f>
        <v>0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0</v>
      </c>
    </row>
    <row r="93" spans="1:10" ht="18" customHeight="1" x14ac:dyDescent="0.25">
      <c r="A93" s="13" t="s">
        <v>395</v>
      </c>
      <c r="B93" s="33">
        <f>'Practice Allocations'!D5-B94</f>
        <v>426861.95999999996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65"/>
      <c r="B97" s="65"/>
      <c r="C97" s="65"/>
      <c r="D97" s="61"/>
      <c r="E97" s="65"/>
      <c r="F97" s="65"/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79"/>
      <c r="B105" s="65"/>
      <c r="C105" s="65"/>
      <c r="D105" s="65"/>
      <c r="E105" s="79"/>
      <c r="F105" s="15"/>
      <c r="G105" s="15"/>
      <c r="H105" s="15"/>
      <c r="I105" s="15"/>
      <c r="J105" s="15"/>
    </row>
    <row r="106" spans="1:10" ht="18" customHeight="1" x14ac:dyDescent="0.25">
      <c r="A106" s="79"/>
      <c r="B106" s="65"/>
      <c r="C106" s="65"/>
      <c r="D106" s="65"/>
      <c r="E106" s="79"/>
      <c r="F106" s="55"/>
      <c r="G106" s="55"/>
      <c r="H106" s="55"/>
      <c r="I106" s="55"/>
      <c r="J106" s="55"/>
    </row>
    <row r="107" spans="1:10" ht="18" customHeight="1" x14ac:dyDescent="0.25">
      <c r="A107" s="79"/>
      <c r="B107" s="65"/>
      <c r="C107" s="65"/>
      <c r="D107" s="65"/>
      <c r="E107" s="79"/>
      <c r="F107" s="15"/>
      <c r="G107" s="15"/>
      <c r="H107" s="15"/>
      <c r="I107" s="15"/>
      <c r="J107" s="15"/>
    </row>
    <row r="108" spans="1:10" ht="18" customHeight="1" x14ac:dyDescent="0.25">
      <c r="A108" s="79"/>
      <c r="B108" s="65"/>
      <c r="C108" s="65"/>
      <c r="D108" s="65"/>
      <c r="E108" s="79"/>
      <c r="F108" s="55"/>
      <c r="G108" s="55"/>
      <c r="H108" s="55"/>
      <c r="I108" s="55"/>
      <c r="J108" s="55"/>
    </row>
    <row r="109" spans="1:10" ht="18" customHeight="1" x14ac:dyDescent="0.25">
      <c r="A109" s="79"/>
      <c r="B109" s="65"/>
      <c r="C109" s="65"/>
      <c r="D109" s="65"/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0C00-000000000000}">
      <formula1>"New SDA,Buy-Back,Existing (Buy-Back Pending)"</formula1>
      <formula2>0</formula2>
    </dataValidation>
    <dataValidation type="list" allowBlank="1" sqref="J58:J62" xr:uid="{00000000-0002-0000-0C00-000001000000}">
      <formula1>"Draft,Submitted,Under Review,Approved,Rejected"</formula1>
      <formula2>0</formula2>
    </dataValidation>
    <dataValidation type="list" allowBlank="1" sqref="F97:F101" xr:uid="{00000000-0002-0000-0C00-000002000000}">
      <formula1>"Planned,Recruiting,In Post,Delayed,Not Started"</formula1>
      <formula2>0</formula2>
    </dataValidation>
    <dataValidation type="list" allowBlank="1" sqref="D105:D114" xr:uid="{00000000-0002-0000-0C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E44AD"/>
  </sheetPr>
  <dimension ref="A1:J1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407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Assumptions!A31</f>
        <v>Springfield Surgery</v>
      </c>
    </row>
    <row r="6" spans="1:10" ht="18" customHeight="1" x14ac:dyDescent="0.25">
      <c r="A6" s="13" t="s">
        <v>55</v>
      </c>
      <c r="B6" s="57">
        <f>Assumptions!B31</f>
        <v>12611</v>
      </c>
    </row>
    <row r="7" spans="1:10" ht="18" customHeight="1" x14ac:dyDescent="0.25">
      <c r="A7" s="13" t="s">
        <v>345</v>
      </c>
      <c r="B7" s="13" t="s">
        <v>64</v>
      </c>
    </row>
    <row r="8" spans="1:10" ht="18" customHeight="1" x14ac:dyDescent="0.25">
      <c r="A8" s="13" t="s">
        <v>57</v>
      </c>
      <c r="B8" s="13" t="s">
        <v>65</v>
      </c>
    </row>
    <row r="9" spans="1:10" ht="18" customHeight="1" x14ac:dyDescent="0.25">
      <c r="A9" s="13" t="s">
        <v>346</v>
      </c>
      <c r="B9" s="58">
        <f>Assumptions!E31</f>
        <v>0.14077290587604929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Allocations'!D6</f>
        <v>332047.63</v>
      </c>
    </row>
    <row r="14" spans="1:10" ht="18" customHeight="1" x14ac:dyDescent="0.25">
      <c r="A14" s="13" t="s">
        <v>349</v>
      </c>
      <c r="B14" s="33">
        <f>'Practice Allocations'!E6</f>
        <v>27670.635833333334</v>
      </c>
    </row>
    <row r="15" spans="1:10" ht="18" customHeight="1" x14ac:dyDescent="0.25">
      <c r="A15" s="13" t="s">
        <v>350</v>
      </c>
      <c r="B15" s="33">
        <f>'Practice Allocations'!F6</f>
        <v>249035.7225</v>
      </c>
    </row>
    <row r="16" spans="1:10" ht="18" customHeight="1" x14ac:dyDescent="0.25">
      <c r="A16" s="13" t="s">
        <v>351</v>
      </c>
      <c r="B16" s="33">
        <f>'Practice Allocations'!D6*Assumptions!B16</f>
        <v>83011.907500000001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Allocations'!G6</f>
        <v>191.68719999999999</v>
      </c>
      <c r="D20" s="74">
        <f>'Practice Allocations'!H6</f>
        <v>95.843599999999995</v>
      </c>
      <c r="E20" s="74">
        <f>'Practice Allocations'!I6</f>
        <v>95.843599999999995</v>
      </c>
      <c r="F20" s="75">
        <f>B20*C20</f>
        <v>7475.8008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Allocations'!J6</f>
        <v>229.52020000000002</v>
      </c>
      <c r="D21" s="78">
        <f>'Practice Allocations'!K6</f>
        <v>114.76010000000001</v>
      </c>
      <c r="E21" s="78">
        <f>'Practice Allocations'!L6</f>
        <v>114.76010000000001</v>
      </c>
      <c r="F21" s="54">
        <f>B21*C21</f>
        <v>2983.7626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Allocations'!M6</f>
        <v>10459.563399999999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191.68719999999999</v>
      </c>
      <c r="D26" s="60"/>
      <c r="E26" s="60"/>
      <c r="F26" s="57">
        <f t="shared" ref="F26:F38" si="0">D26+E26</f>
        <v>0</v>
      </c>
      <c r="G26" s="38">
        <f t="shared" ref="G26:G39" si="1">F26-C26</f>
        <v>-191.68719999999999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191.68719999999999</v>
      </c>
      <c r="D27" s="60"/>
      <c r="E27" s="60"/>
      <c r="F27" s="57">
        <f t="shared" si="0"/>
        <v>0</v>
      </c>
      <c r="G27" s="38">
        <f t="shared" si="1"/>
        <v>-191.68719999999999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191.68719999999999</v>
      </c>
      <c r="D28" s="60"/>
      <c r="E28" s="60"/>
      <c r="F28" s="57">
        <f t="shared" si="0"/>
        <v>0</v>
      </c>
      <c r="G28" s="38">
        <f t="shared" si="1"/>
        <v>-191.68719999999999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191.68719999999999</v>
      </c>
      <c r="D29" s="60"/>
      <c r="E29" s="60"/>
      <c r="F29" s="57">
        <f t="shared" si="0"/>
        <v>0</v>
      </c>
      <c r="G29" s="38">
        <f t="shared" si="1"/>
        <v>-191.68719999999999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191.68719999999999</v>
      </c>
      <c r="D30" s="60"/>
      <c r="E30" s="60"/>
      <c r="F30" s="57">
        <f t="shared" si="0"/>
        <v>0</v>
      </c>
      <c r="G30" s="38">
        <f t="shared" si="1"/>
        <v>-191.68719999999999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191.68719999999999</v>
      </c>
      <c r="D31" s="60"/>
      <c r="E31" s="60"/>
      <c r="F31" s="57">
        <f t="shared" si="0"/>
        <v>0</v>
      </c>
      <c r="G31" s="38">
        <f t="shared" si="1"/>
        <v>-191.68719999999999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191.68719999999999</v>
      </c>
      <c r="D32" s="60"/>
      <c r="E32" s="60"/>
      <c r="F32" s="57">
        <f t="shared" si="0"/>
        <v>0</v>
      </c>
      <c r="G32" s="38">
        <f t="shared" si="1"/>
        <v>-191.68719999999999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191.68719999999999</v>
      </c>
      <c r="D33" s="60"/>
      <c r="E33" s="60"/>
      <c r="F33" s="57">
        <f t="shared" si="0"/>
        <v>0</v>
      </c>
      <c r="G33" s="38">
        <f t="shared" si="1"/>
        <v>-191.68719999999999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191.68719999999999</v>
      </c>
      <c r="D34" s="60"/>
      <c r="E34" s="60"/>
      <c r="F34" s="57">
        <f t="shared" si="0"/>
        <v>0</v>
      </c>
      <c r="G34" s="38">
        <f t="shared" si="1"/>
        <v>-191.68719999999999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191.68719999999999</v>
      </c>
      <c r="D35" s="60"/>
      <c r="E35" s="60"/>
      <c r="F35" s="57">
        <f t="shared" si="0"/>
        <v>0</v>
      </c>
      <c r="G35" s="38">
        <f t="shared" si="1"/>
        <v>-191.68719999999999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191.68719999999999</v>
      </c>
      <c r="D36" s="60"/>
      <c r="E36" s="60"/>
      <c r="F36" s="57">
        <f t="shared" si="0"/>
        <v>0</v>
      </c>
      <c r="G36" s="38">
        <f t="shared" si="1"/>
        <v>-191.68719999999999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191.68719999999999</v>
      </c>
      <c r="D37" s="60"/>
      <c r="E37" s="60"/>
      <c r="F37" s="57">
        <f t="shared" si="0"/>
        <v>0</v>
      </c>
      <c r="G37" s="38">
        <f t="shared" si="1"/>
        <v>-191.68719999999999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191.68719999999999</v>
      </c>
      <c r="D38" s="60"/>
      <c r="E38" s="60"/>
      <c r="F38" s="57">
        <f t="shared" si="0"/>
        <v>0</v>
      </c>
      <c r="G38" s="38">
        <f t="shared" si="1"/>
        <v>-191.68719999999999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2491.9335999999998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-2491.9335999999998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65"/>
      <c r="B44" s="65"/>
      <c r="C44" s="65"/>
      <c r="D44" s="60"/>
      <c r="E44" s="60"/>
      <c r="F44" s="26" t="str">
        <f t="shared" ref="F44:F53" si="3">IF(D44="","",D44*E44)</f>
        <v/>
      </c>
      <c r="G44" s="61"/>
      <c r="H44" s="36" t="str">
        <f t="shared" ref="H44:H53" si="4">IF(D44="","",D44*G44)</f>
        <v/>
      </c>
      <c r="I44" s="36" t="str">
        <f>IF(H44="","",H44*Assumptions!B17)</f>
        <v/>
      </c>
      <c r="J44" s="33" t="str">
        <f t="shared" ref="J44:J53" si="5">IF(H44="","",H44+I44)</f>
        <v/>
      </c>
    </row>
    <row r="45" spans="1:10" ht="18" customHeight="1" x14ac:dyDescent="0.25">
      <c r="A45" s="65"/>
      <c r="B45" s="65"/>
      <c r="C45" s="65"/>
      <c r="D45" s="60"/>
      <c r="E45" s="60"/>
      <c r="F45" s="26" t="str">
        <f t="shared" si="3"/>
        <v/>
      </c>
      <c r="G45" s="61"/>
      <c r="H45" s="36" t="str">
        <f t="shared" si="4"/>
        <v/>
      </c>
      <c r="I45" s="36" t="str">
        <f>IF(H45="","",H45*Assumptions!B17)</f>
        <v/>
      </c>
      <c r="J45" s="33" t="str">
        <f t="shared" si="5"/>
        <v/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0</v>
      </c>
      <c r="E54" s="30"/>
      <c r="F54" s="29">
        <f>SUM(F44:F53)</f>
        <v>0</v>
      </c>
      <c r="G54" s="30"/>
      <c r="H54" s="39">
        <f>SUM(H44:H53)</f>
        <v>0</v>
      </c>
      <c r="I54" s="39">
        <f>SUM(I44:I53)</f>
        <v>0</v>
      </c>
      <c r="J54" s="39">
        <f>SUM(J44:J53)</f>
        <v>0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65"/>
      <c r="B58" s="65"/>
      <c r="C58" s="60"/>
      <c r="D58" s="61"/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62"/>
      <c r="I58" s="33" t="str">
        <f>IF(G58="","",G58*H58)</f>
        <v/>
      </c>
      <c r="J58" s="65"/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Allocations'!E6</f>
        <v>27670.635833333334</v>
      </c>
      <c r="C67" s="36">
        <f>B67*1</f>
        <v>27670.635833333334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27670.635833333334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Allocations'!E6</f>
        <v>27670.635833333334</v>
      </c>
      <c r="C68" s="36">
        <f>B68*2</f>
        <v>55341.271666666667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55341.271666666667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Allocations'!E6</f>
        <v>27670.635833333334</v>
      </c>
      <c r="C69" s="36">
        <f>B69*3</f>
        <v>83011.907500000001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83011.907500000001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Allocations'!E6</f>
        <v>27670.635833333334</v>
      </c>
      <c r="C70" s="36">
        <f>B70*4</f>
        <v>110682.54333333333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110682.54333333333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Allocations'!E6</f>
        <v>27670.635833333334</v>
      </c>
      <c r="C71" s="36">
        <f>B71*5</f>
        <v>138353.17916666667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138353.17916666667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Allocations'!E6</f>
        <v>27670.635833333334</v>
      </c>
      <c r="C72" s="36">
        <f>B72*6</f>
        <v>166023.815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166023.815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Allocations'!E6</f>
        <v>27670.635833333334</v>
      </c>
      <c r="C73" s="36">
        <f>B73*7</f>
        <v>193694.45083333334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193694.45083333334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Allocations'!E6</f>
        <v>27670.635833333334</v>
      </c>
      <c r="C74" s="36">
        <f>B74*8</f>
        <v>221365.08666666667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221365.08666666667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Allocations'!E6</f>
        <v>27670.635833333334</v>
      </c>
      <c r="C75" s="36">
        <f>B75*9</f>
        <v>249035.7225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249035.7225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Allocations'!E6</f>
        <v>27670.635833333334</v>
      </c>
      <c r="C76" s="36">
        <f>B76*10</f>
        <v>276706.35833333334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276706.35833333334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Allocations'!E6</f>
        <v>27670.635833333334</v>
      </c>
      <c r="C77" s="36">
        <f>B77*11</f>
        <v>304376.99416666664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304376.99416666664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Allocations'!E6</f>
        <v>27670.635833333334</v>
      </c>
      <c r="C78" s="36">
        <f>B78*12</f>
        <v>332047.63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332047.63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332047.63</v>
      </c>
      <c r="C79" s="39">
        <f>C78</f>
        <v>332047.63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332047.63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10459.563399999999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191.68719999999999</v>
      </c>
    </row>
    <row r="87" spans="1:10" ht="18" customHeight="1" x14ac:dyDescent="0.25">
      <c r="A87" s="13" t="s">
        <v>389</v>
      </c>
      <c r="B87" s="37">
        <f>B85-B86</f>
        <v>-191.68719999999999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NO — Below 50%</v>
      </c>
    </row>
    <row r="90" spans="1:10" ht="18" customHeight="1" x14ac:dyDescent="0.25">
      <c r="A90" s="13" t="s">
        <v>392</v>
      </c>
      <c r="B90" s="33">
        <f>J54</f>
        <v>0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0</v>
      </c>
    </row>
    <row r="93" spans="1:10" ht="18" customHeight="1" x14ac:dyDescent="0.25">
      <c r="A93" s="13" t="s">
        <v>395</v>
      </c>
      <c r="B93" s="33">
        <f>'Practice Allocations'!D6-B94</f>
        <v>332047.63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65"/>
      <c r="B97" s="65"/>
      <c r="C97" s="65"/>
      <c r="D97" s="61"/>
      <c r="E97" s="65"/>
      <c r="F97" s="65"/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79"/>
      <c r="B105" s="65"/>
      <c r="C105" s="65"/>
      <c r="D105" s="65"/>
      <c r="E105" s="79"/>
      <c r="F105" s="15"/>
      <c r="G105" s="15"/>
      <c r="H105" s="15"/>
      <c r="I105" s="15"/>
      <c r="J105" s="15"/>
    </row>
    <row r="106" spans="1:10" ht="18" customHeight="1" x14ac:dyDescent="0.25">
      <c r="A106" s="79"/>
      <c r="B106" s="65"/>
      <c r="C106" s="65"/>
      <c r="D106" s="65"/>
      <c r="E106" s="79"/>
      <c r="F106" s="55"/>
      <c r="G106" s="55"/>
      <c r="H106" s="55"/>
      <c r="I106" s="55"/>
      <c r="J106" s="55"/>
    </row>
    <row r="107" spans="1:10" ht="18" customHeight="1" x14ac:dyDescent="0.25">
      <c r="A107" s="79"/>
      <c r="B107" s="65"/>
      <c r="C107" s="65"/>
      <c r="D107" s="65"/>
      <c r="E107" s="79"/>
      <c r="F107" s="15"/>
      <c r="G107" s="15"/>
      <c r="H107" s="15"/>
      <c r="I107" s="15"/>
      <c r="J107" s="15"/>
    </row>
    <row r="108" spans="1:10" ht="18" customHeight="1" x14ac:dyDescent="0.25">
      <c r="A108" s="79"/>
      <c r="B108" s="65"/>
      <c r="C108" s="65"/>
      <c r="D108" s="65"/>
      <c r="E108" s="79"/>
      <c r="F108" s="55"/>
      <c r="G108" s="55"/>
      <c r="H108" s="55"/>
      <c r="I108" s="55"/>
      <c r="J108" s="55"/>
    </row>
    <row r="109" spans="1:10" ht="18" customHeight="1" x14ac:dyDescent="0.25">
      <c r="A109" s="79"/>
      <c r="B109" s="65"/>
      <c r="C109" s="65"/>
      <c r="D109" s="65"/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0D00-000000000000}">
      <formula1>"New SDA,Buy-Back,Existing (Buy-Back Pending)"</formula1>
      <formula2>0</formula2>
    </dataValidation>
    <dataValidation type="list" allowBlank="1" sqref="J58:J62" xr:uid="{00000000-0002-0000-0D00-000001000000}">
      <formula1>"Draft,Submitted,Under Review,Approved,Rejected"</formula1>
      <formula2>0</formula2>
    </dataValidation>
    <dataValidation type="list" allowBlank="1" sqref="F97:F101" xr:uid="{00000000-0002-0000-0D00-000002000000}">
      <formula1>"Planned,Recruiting,In Post,Delayed,Not Started"</formula1>
      <formula2>0</formula2>
    </dataValidation>
    <dataValidation type="list" allowBlank="1" sqref="D105:D114" xr:uid="{00000000-0002-0000-0D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J1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408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Assumptions!A32</f>
        <v>Towcester MC</v>
      </c>
    </row>
    <row r="6" spans="1:10" ht="18" customHeight="1" x14ac:dyDescent="0.25">
      <c r="A6" s="13" t="s">
        <v>55</v>
      </c>
      <c r="B6" s="57">
        <f>Assumptions!B32</f>
        <v>11748</v>
      </c>
    </row>
    <row r="7" spans="1:10" ht="18" customHeight="1" x14ac:dyDescent="0.25">
      <c r="A7" s="13" t="s">
        <v>345</v>
      </c>
      <c r="B7" s="13" t="s">
        <v>64</v>
      </c>
    </row>
    <row r="8" spans="1:10" ht="18" customHeight="1" x14ac:dyDescent="0.25">
      <c r="A8" s="13" t="s">
        <v>57</v>
      </c>
      <c r="B8" s="13" t="s">
        <v>65</v>
      </c>
    </row>
    <row r="9" spans="1:10" ht="18" customHeight="1" x14ac:dyDescent="0.25">
      <c r="A9" s="13" t="s">
        <v>346</v>
      </c>
      <c r="B9" s="58">
        <f>Assumptions!E32</f>
        <v>0.13113948919449903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Allocations'!D7</f>
        <v>309324.83999999997</v>
      </c>
    </row>
    <row r="14" spans="1:10" ht="18" customHeight="1" x14ac:dyDescent="0.25">
      <c r="A14" s="13" t="s">
        <v>349</v>
      </c>
      <c r="B14" s="33">
        <f>'Practice Allocations'!E7</f>
        <v>25777.069999999996</v>
      </c>
    </row>
    <row r="15" spans="1:10" ht="18" customHeight="1" x14ac:dyDescent="0.25">
      <c r="A15" s="13" t="s">
        <v>350</v>
      </c>
      <c r="B15" s="33">
        <f>'Practice Allocations'!F7</f>
        <v>231993.62999999998</v>
      </c>
    </row>
    <row r="16" spans="1:10" ht="18" customHeight="1" x14ac:dyDescent="0.25">
      <c r="A16" s="13" t="s">
        <v>351</v>
      </c>
      <c r="B16" s="33">
        <f>'Practice Allocations'!D7*Assumptions!B16</f>
        <v>77331.209999999992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Allocations'!G7</f>
        <v>178.56959999999998</v>
      </c>
      <c r="D20" s="74">
        <f>'Practice Allocations'!H7</f>
        <v>89.28479999999999</v>
      </c>
      <c r="E20" s="74">
        <f>'Practice Allocations'!I7</f>
        <v>89.28479999999999</v>
      </c>
      <c r="F20" s="75">
        <f>B20*C20</f>
        <v>6964.2143999999989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Allocations'!J7</f>
        <v>213.81359999999998</v>
      </c>
      <c r="D21" s="78">
        <f>'Practice Allocations'!K7</f>
        <v>106.90679999999999</v>
      </c>
      <c r="E21" s="78">
        <f>'Practice Allocations'!L7</f>
        <v>106.90679999999999</v>
      </c>
      <c r="F21" s="54">
        <f>B21*C21</f>
        <v>2779.5767999999998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Allocations'!M7</f>
        <v>9743.7911999999997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178.56959999999998</v>
      </c>
      <c r="D26" s="60"/>
      <c r="E26" s="60"/>
      <c r="F26" s="57">
        <f t="shared" ref="F26:F38" si="0">D26+E26</f>
        <v>0</v>
      </c>
      <c r="G26" s="38">
        <f t="shared" ref="G26:G39" si="1">F26-C26</f>
        <v>-178.56959999999998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178.56959999999998</v>
      </c>
      <c r="D27" s="60"/>
      <c r="E27" s="60"/>
      <c r="F27" s="57">
        <f t="shared" si="0"/>
        <v>0</v>
      </c>
      <c r="G27" s="38">
        <f t="shared" si="1"/>
        <v>-178.56959999999998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178.56959999999998</v>
      </c>
      <c r="D28" s="60"/>
      <c r="E28" s="60"/>
      <c r="F28" s="57">
        <f t="shared" si="0"/>
        <v>0</v>
      </c>
      <c r="G28" s="38">
        <f t="shared" si="1"/>
        <v>-178.56959999999998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178.56959999999998</v>
      </c>
      <c r="D29" s="60"/>
      <c r="E29" s="60"/>
      <c r="F29" s="57">
        <f t="shared" si="0"/>
        <v>0</v>
      </c>
      <c r="G29" s="38">
        <f t="shared" si="1"/>
        <v>-178.56959999999998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178.56959999999998</v>
      </c>
      <c r="D30" s="60"/>
      <c r="E30" s="60"/>
      <c r="F30" s="57">
        <f t="shared" si="0"/>
        <v>0</v>
      </c>
      <c r="G30" s="38">
        <f t="shared" si="1"/>
        <v>-178.56959999999998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178.56959999999998</v>
      </c>
      <c r="D31" s="60"/>
      <c r="E31" s="60"/>
      <c r="F31" s="57">
        <f t="shared" si="0"/>
        <v>0</v>
      </c>
      <c r="G31" s="38">
        <f t="shared" si="1"/>
        <v>-178.56959999999998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178.56959999999998</v>
      </c>
      <c r="D32" s="60"/>
      <c r="E32" s="60"/>
      <c r="F32" s="57">
        <f t="shared" si="0"/>
        <v>0</v>
      </c>
      <c r="G32" s="38">
        <f t="shared" si="1"/>
        <v>-178.56959999999998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178.56959999999998</v>
      </c>
      <c r="D33" s="60"/>
      <c r="E33" s="60"/>
      <c r="F33" s="57">
        <f t="shared" si="0"/>
        <v>0</v>
      </c>
      <c r="G33" s="38">
        <f t="shared" si="1"/>
        <v>-178.56959999999998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178.56959999999998</v>
      </c>
      <c r="D34" s="60"/>
      <c r="E34" s="60"/>
      <c r="F34" s="57">
        <f t="shared" si="0"/>
        <v>0</v>
      </c>
      <c r="G34" s="38">
        <f t="shared" si="1"/>
        <v>-178.56959999999998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178.56959999999998</v>
      </c>
      <c r="D35" s="60"/>
      <c r="E35" s="60"/>
      <c r="F35" s="57">
        <f t="shared" si="0"/>
        <v>0</v>
      </c>
      <c r="G35" s="38">
        <f t="shared" si="1"/>
        <v>-178.56959999999998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178.56959999999998</v>
      </c>
      <c r="D36" s="60"/>
      <c r="E36" s="60"/>
      <c r="F36" s="57">
        <f t="shared" si="0"/>
        <v>0</v>
      </c>
      <c r="G36" s="38">
        <f t="shared" si="1"/>
        <v>-178.56959999999998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178.56959999999998</v>
      </c>
      <c r="D37" s="60"/>
      <c r="E37" s="60"/>
      <c r="F37" s="57">
        <f t="shared" si="0"/>
        <v>0</v>
      </c>
      <c r="G37" s="38">
        <f t="shared" si="1"/>
        <v>-178.56959999999998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178.56959999999998</v>
      </c>
      <c r="D38" s="60"/>
      <c r="E38" s="60"/>
      <c r="F38" s="57">
        <f t="shared" si="0"/>
        <v>0</v>
      </c>
      <c r="G38" s="38">
        <f t="shared" si="1"/>
        <v>-178.56959999999998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2321.4047999999998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-2321.4047999999998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19" t="s">
        <v>209</v>
      </c>
      <c r="B44" s="19" t="s">
        <v>49</v>
      </c>
      <c r="C44" s="80" t="s">
        <v>361</v>
      </c>
      <c r="D44" s="17">
        <v>12</v>
      </c>
      <c r="E44" s="17">
        <v>12</v>
      </c>
      <c r="F44" s="26">
        <f t="shared" ref="F44:F53" si="3">IF(D44="","",D44*E44)</f>
        <v>144</v>
      </c>
      <c r="G44" s="25">
        <v>12000</v>
      </c>
      <c r="H44" s="36">
        <f t="shared" ref="H44:H53" si="4">IF(D44="","",D44*G44)</f>
        <v>144000</v>
      </c>
      <c r="I44" s="36">
        <f>IF(H44="","",H44*Assumptions!B17)</f>
        <v>42307.200000000004</v>
      </c>
      <c r="J44" s="33">
        <f t="shared" ref="J44:J53" si="5">IF(H44="","",H44+I44)</f>
        <v>186307.20000000001</v>
      </c>
    </row>
    <row r="45" spans="1:10" ht="18" customHeight="1" x14ac:dyDescent="0.25">
      <c r="A45" s="19" t="s">
        <v>409</v>
      </c>
      <c r="B45" s="19" t="s">
        <v>50</v>
      </c>
      <c r="C45" s="80" t="s">
        <v>361</v>
      </c>
      <c r="D45" s="17">
        <v>8</v>
      </c>
      <c r="E45" s="17">
        <v>12</v>
      </c>
      <c r="F45" s="26">
        <f t="shared" si="3"/>
        <v>96</v>
      </c>
      <c r="G45" s="25">
        <v>4391</v>
      </c>
      <c r="H45" s="36">
        <f t="shared" si="4"/>
        <v>35128</v>
      </c>
      <c r="I45" s="36">
        <f>IF(H45="","",H45*Assumptions!B17)</f>
        <v>10320.606400000001</v>
      </c>
      <c r="J45" s="33">
        <f t="shared" si="5"/>
        <v>45448.606400000004</v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20</v>
      </c>
      <c r="E54" s="30"/>
      <c r="F54" s="29">
        <f>SUM(F44:F53)</f>
        <v>240</v>
      </c>
      <c r="G54" s="30"/>
      <c r="H54" s="39">
        <f>SUM(H44:H53)</f>
        <v>179128</v>
      </c>
      <c r="I54" s="39">
        <f>SUM(I44:I53)</f>
        <v>52627.806400000001</v>
      </c>
      <c r="J54" s="39">
        <f>SUM(J44:J53)</f>
        <v>231755.8064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65"/>
      <c r="B58" s="65"/>
      <c r="C58" s="60"/>
      <c r="D58" s="61"/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62"/>
      <c r="I58" s="33" t="str">
        <f>IF(G58="","",G58*H58)</f>
        <v/>
      </c>
      <c r="J58" s="65"/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Allocations'!E7</f>
        <v>25777.069999999996</v>
      </c>
      <c r="C67" s="36">
        <f>B67*1</f>
        <v>25777.069999999996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25777.069999999996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Allocations'!E7</f>
        <v>25777.069999999996</v>
      </c>
      <c r="C68" s="36">
        <f>B68*2</f>
        <v>51554.139999999992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51554.139999999992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Allocations'!E7</f>
        <v>25777.069999999996</v>
      </c>
      <c r="C69" s="36">
        <f>B69*3</f>
        <v>77331.209999999992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77331.209999999992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Allocations'!E7</f>
        <v>25777.069999999996</v>
      </c>
      <c r="C70" s="36">
        <f>B70*4</f>
        <v>103108.27999999998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103108.27999999998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Allocations'!E7</f>
        <v>25777.069999999996</v>
      </c>
      <c r="C71" s="36">
        <f>B71*5</f>
        <v>128885.34999999998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128885.34999999998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Allocations'!E7</f>
        <v>25777.069999999996</v>
      </c>
      <c r="C72" s="36">
        <f>B72*6</f>
        <v>154662.41999999998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154662.41999999998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Allocations'!E7</f>
        <v>25777.069999999996</v>
      </c>
      <c r="C73" s="36">
        <f>B73*7</f>
        <v>180439.48999999996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180439.48999999996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Allocations'!E7</f>
        <v>25777.069999999996</v>
      </c>
      <c r="C74" s="36">
        <f>B74*8</f>
        <v>206216.55999999997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206216.55999999997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Allocations'!E7</f>
        <v>25777.069999999996</v>
      </c>
      <c r="C75" s="36">
        <f>B75*9</f>
        <v>231993.62999999998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231993.62999999998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Allocations'!E7</f>
        <v>25777.069999999996</v>
      </c>
      <c r="C76" s="36">
        <f>B76*10</f>
        <v>257770.69999999995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257770.69999999995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Allocations'!E7</f>
        <v>25777.069999999996</v>
      </c>
      <c r="C77" s="36">
        <f>B77*11</f>
        <v>283547.76999999996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283547.76999999996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Allocations'!E7</f>
        <v>25777.069999999996</v>
      </c>
      <c r="C78" s="36">
        <f>B78*12</f>
        <v>309324.83999999997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309324.83999999997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309324.84000000003</v>
      </c>
      <c r="C79" s="39">
        <f>C78</f>
        <v>309324.83999999997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309324.83999999997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9743.7911999999997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178.56959999999998</v>
      </c>
    </row>
    <row r="87" spans="1:10" ht="18" customHeight="1" x14ac:dyDescent="0.25">
      <c r="A87" s="13" t="s">
        <v>389</v>
      </c>
      <c r="B87" s="37">
        <f>B85-B86</f>
        <v>-178.56959999999998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YES — Compliant</v>
      </c>
    </row>
    <row r="90" spans="1:10" ht="18" customHeight="1" x14ac:dyDescent="0.25">
      <c r="A90" s="13" t="s">
        <v>392</v>
      </c>
      <c r="B90" s="33">
        <f>J54</f>
        <v>231755.8064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231755.8064</v>
      </c>
    </row>
    <row r="93" spans="1:10" ht="18" customHeight="1" x14ac:dyDescent="0.25">
      <c r="A93" s="13" t="s">
        <v>395</v>
      </c>
      <c r="B93" s="33">
        <f>'Practice Allocations'!D7-B94</f>
        <v>309324.83999999997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65"/>
      <c r="B97" s="65"/>
      <c r="C97" s="65"/>
      <c r="D97" s="61"/>
      <c r="E97" s="65"/>
      <c r="F97" s="65"/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81" t="s">
        <v>410</v>
      </c>
      <c r="B105" s="72" t="s">
        <v>411</v>
      </c>
      <c r="C105" s="53" t="s">
        <v>412</v>
      </c>
      <c r="D105" s="64" t="s">
        <v>413</v>
      </c>
      <c r="E105" s="79"/>
      <c r="F105" s="15"/>
      <c r="G105" s="15"/>
      <c r="H105" s="15"/>
      <c r="I105" s="15"/>
      <c r="J105" s="15"/>
    </row>
    <row r="106" spans="1:10" ht="18" customHeight="1" x14ac:dyDescent="0.25">
      <c r="A106" s="81" t="s">
        <v>410</v>
      </c>
      <c r="B106" s="53" t="s">
        <v>414</v>
      </c>
      <c r="C106" s="53" t="s">
        <v>412</v>
      </c>
      <c r="D106" s="63" t="s">
        <v>415</v>
      </c>
      <c r="E106" s="79"/>
      <c r="F106" s="55"/>
      <c r="G106" s="55"/>
      <c r="H106" s="55"/>
      <c r="I106" s="55"/>
      <c r="J106" s="55"/>
    </row>
    <row r="107" spans="1:10" ht="18" customHeight="1" x14ac:dyDescent="0.25">
      <c r="A107" s="81" t="s">
        <v>410</v>
      </c>
      <c r="B107" s="59" t="s">
        <v>416</v>
      </c>
      <c r="C107" s="59" t="s">
        <v>412</v>
      </c>
      <c r="D107" s="59" t="s">
        <v>415</v>
      </c>
      <c r="E107" s="79"/>
      <c r="F107" s="15"/>
      <c r="G107" s="15"/>
      <c r="H107" s="15"/>
      <c r="I107" s="15"/>
      <c r="J107" s="15"/>
    </row>
    <row r="108" spans="1:10" ht="18" customHeight="1" x14ac:dyDescent="0.25">
      <c r="A108" s="81" t="s">
        <v>410</v>
      </c>
      <c r="B108" s="82" t="s">
        <v>417</v>
      </c>
      <c r="C108" s="82" t="s">
        <v>412</v>
      </c>
      <c r="D108" s="59" t="s">
        <v>415</v>
      </c>
      <c r="E108" s="79"/>
      <c r="F108" s="55"/>
      <c r="G108" s="55"/>
      <c r="H108" s="55"/>
      <c r="I108" s="55"/>
      <c r="J108" s="55"/>
    </row>
    <row r="109" spans="1:10" ht="18" customHeight="1" x14ac:dyDescent="0.25">
      <c r="A109" s="81" t="s">
        <v>410</v>
      </c>
      <c r="B109" s="82" t="s">
        <v>418</v>
      </c>
      <c r="C109" s="82" t="s">
        <v>419</v>
      </c>
      <c r="D109" s="64" t="s">
        <v>413</v>
      </c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0E00-000000000000}">
      <formula1>"New SDA,Buy-Back,Existing (Buy-Back Pending)"</formula1>
      <formula2>0</formula2>
    </dataValidation>
    <dataValidation type="list" allowBlank="1" sqref="J58:J62" xr:uid="{00000000-0002-0000-0E00-000001000000}">
      <formula1>"Draft,Submitted,Under Review,Approved,Rejected"</formula1>
      <formula2>0</formula2>
    </dataValidation>
    <dataValidation type="list" allowBlank="1" sqref="F97:F101" xr:uid="{00000000-0002-0000-0E00-000002000000}">
      <formula1>"Planned,Recruiting,In Post,Delayed,Not Started"</formula1>
      <formula2>0</formula2>
    </dataValidation>
    <dataValidation type="list" allowBlank="1" sqref="D105:D114" xr:uid="{00000000-0002-0000-0E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392B"/>
  </sheetPr>
  <dimension ref="A1:J1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420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Assumptions!A33</f>
        <v>Bugbrooke Surgery</v>
      </c>
    </row>
    <row r="6" spans="1:10" ht="18" customHeight="1" x14ac:dyDescent="0.25">
      <c r="A6" s="13" t="s">
        <v>55</v>
      </c>
      <c r="B6" s="57">
        <f>Assumptions!B33</f>
        <v>10788</v>
      </c>
    </row>
    <row r="7" spans="1:10" ht="18" customHeight="1" x14ac:dyDescent="0.25">
      <c r="A7" s="13" t="s">
        <v>345</v>
      </c>
      <c r="B7" s="13" t="s">
        <v>64</v>
      </c>
    </row>
    <row r="8" spans="1:10" ht="18" customHeight="1" x14ac:dyDescent="0.25">
      <c r="A8" s="13" t="s">
        <v>57</v>
      </c>
      <c r="B8" s="13" t="s">
        <v>61</v>
      </c>
    </row>
    <row r="9" spans="1:10" ht="18" customHeight="1" x14ac:dyDescent="0.25">
      <c r="A9" s="13" t="s">
        <v>346</v>
      </c>
      <c r="B9" s="58">
        <f>Assumptions!E33</f>
        <v>0.12042328987319165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Allocations'!D8</f>
        <v>284048.03999999998</v>
      </c>
    </row>
    <row r="14" spans="1:10" ht="18" customHeight="1" x14ac:dyDescent="0.25">
      <c r="A14" s="13" t="s">
        <v>349</v>
      </c>
      <c r="B14" s="33">
        <f>'Practice Allocations'!E8</f>
        <v>23670.67</v>
      </c>
    </row>
    <row r="15" spans="1:10" ht="18" customHeight="1" x14ac:dyDescent="0.25">
      <c r="A15" s="13" t="s">
        <v>350</v>
      </c>
      <c r="B15" s="33">
        <f>'Practice Allocations'!F8</f>
        <v>213036.02999999997</v>
      </c>
    </row>
    <row r="16" spans="1:10" ht="18" customHeight="1" x14ac:dyDescent="0.25">
      <c r="A16" s="13" t="s">
        <v>351</v>
      </c>
      <c r="B16" s="33">
        <f>'Practice Allocations'!D8*Assumptions!B16</f>
        <v>71012.009999999995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Allocations'!G8</f>
        <v>163.9776</v>
      </c>
      <c r="D20" s="74">
        <f>'Practice Allocations'!H8</f>
        <v>81.988799999999998</v>
      </c>
      <c r="E20" s="74">
        <f>'Practice Allocations'!I8</f>
        <v>81.988799999999998</v>
      </c>
      <c r="F20" s="75">
        <f>B20*C20</f>
        <v>6395.1264000000001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Allocations'!J8</f>
        <v>196.3416</v>
      </c>
      <c r="D21" s="78">
        <f>'Practice Allocations'!K8</f>
        <v>98.1708</v>
      </c>
      <c r="E21" s="78">
        <f>'Practice Allocations'!L8</f>
        <v>98.1708</v>
      </c>
      <c r="F21" s="54">
        <f>B21*C21</f>
        <v>2552.4407999999999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Allocations'!M8</f>
        <v>8947.5671999999995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163.9776</v>
      </c>
      <c r="D26" s="60"/>
      <c r="E26" s="60"/>
      <c r="F26" s="57">
        <f t="shared" ref="F26:F38" si="0">D26+E26</f>
        <v>0</v>
      </c>
      <c r="G26" s="38">
        <f t="shared" ref="G26:G39" si="1">F26-C26</f>
        <v>-163.9776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163.9776</v>
      </c>
      <c r="D27" s="60"/>
      <c r="E27" s="60"/>
      <c r="F27" s="57">
        <f t="shared" si="0"/>
        <v>0</v>
      </c>
      <c r="G27" s="38">
        <f t="shared" si="1"/>
        <v>-163.9776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163.9776</v>
      </c>
      <c r="D28" s="60"/>
      <c r="E28" s="60"/>
      <c r="F28" s="57">
        <f t="shared" si="0"/>
        <v>0</v>
      </c>
      <c r="G28" s="38">
        <f t="shared" si="1"/>
        <v>-163.9776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163.9776</v>
      </c>
      <c r="D29" s="60"/>
      <c r="E29" s="60"/>
      <c r="F29" s="57">
        <f t="shared" si="0"/>
        <v>0</v>
      </c>
      <c r="G29" s="38">
        <f t="shared" si="1"/>
        <v>-163.9776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163.9776</v>
      </c>
      <c r="D30" s="60"/>
      <c r="E30" s="60"/>
      <c r="F30" s="57">
        <f t="shared" si="0"/>
        <v>0</v>
      </c>
      <c r="G30" s="38">
        <f t="shared" si="1"/>
        <v>-163.9776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163.9776</v>
      </c>
      <c r="D31" s="60"/>
      <c r="E31" s="60"/>
      <c r="F31" s="57">
        <f t="shared" si="0"/>
        <v>0</v>
      </c>
      <c r="G31" s="38">
        <f t="shared" si="1"/>
        <v>-163.9776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163.9776</v>
      </c>
      <c r="D32" s="60"/>
      <c r="E32" s="60"/>
      <c r="F32" s="57">
        <f t="shared" si="0"/>
        <v>0</v>
      </c>
      <c r="G32" s="38">
        <f t="shared" si="1"/>
        <v>-163.9776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163.9776</v>
      </c>
      <c r="D33" s="60"/>
      <c r="E33" s="60"/>
      <c r="F33" s="57">
        <f t="shared" si="0"/>
        <v>0</v>
      </c>
      <c r="G33" s="38">
        <f t="shared" si="1"/>
        <v>-163.9776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163.9776</v>
      </c>
      <c r="D34" s="60"/>
      <c r="E34" s="60"/>
      <c r="F34" s="57">
        <f t="shared" si="0"/>
        <v>0</v>
      </c>
      <c r="G34" s="38">
        <f t="shared" si="1"/>
        <v>-163.9776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163.9776</v>
      </c>
      <c r="D35" s="60"/>
      <c r="E35" s="60"/>
      <c r="F35" s="57">
        <f t="shared" si="0"/>
        <v>0</v>
      </c>
      <c r="G35" s="38">
        <f t="shared" si="1"/>
        <v>-163.9776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163.9776</v>
      </c>
      <c r="D36" s="60"/>
      <c r="E36" s="60"/>
      <c r="F36" s="57">
        <f t="shared" si="0"/>
        <v>0</v>
      </c>
      <c r="G36" s="38">
        <f t="shared" si="1"/>
        <v>-163.9776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163.9776</v>
      </c>
      <c r="D37" s="60"/>
      <c r="E37" s="60"/>
      <c r="F37" s="57">
        <f t="shared" si="0"/>
        <v>0</v>
      </c>
      <c r="G37" s="38">
        <f t="shared" si="1"/>
        <v>-163.9776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163.9776</v>
      </c>
      <c r="D38" s="60"/>
      <c r="E38" s="60"/>
      <c r="F38" s="57">
        <f t="shared" si="0"/>
        <v>0</v>
      </c>
      <c r="G38" s="38">
        <f t="shared" si="1"/>
        <v>-163.9776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2131.7087999999994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-2131.7087999999994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65"/>
      <c r="B44" s="65"/>
      <c r="C44" s="65"/>
      <c r="D44" s="60"/>
      <c r="E44" s="60"/>
      <c r="F44" s="26" t="str">
        <f t="shared" ref="F44:F53" si="3">IF(D44="","",D44*E44)</f>
        <v/>
      </c>
      <c r="G44" s="61"/>
      <c r="H44" s="36" t="str">
        <f t="shared" ref="H44:H53" si="4">IF(D44="","",D44*G44)</f>
        <v/>
      </c>
      <c r="I44" s="36" t="str">
        <f>IF(H44="","",H44*Assumptions!B17)</f>
        <v/>
      </c>
      <c r="J44" s="33" t="str">
        <f t="shared" ref="J44:J53" si="5">IF(H44="","",H44+I44)</f>
        <v/>
      </c>
    </row>
    <row r="45" spans="1:10" ht="18" customHeight="1" x14ac:dyDescent="0.25">
      <c r="A45" s="65"/>
      <c r="B45" s="65"/>
      <c r="C45" s="65"/>
      <c r="D45" s="60"/>
      <c r="E45" s="60"/>
      <c r="F45" s="26" t="str">
        <f t="shared" si="3"/>
        <v/>
      </c>
      <c r="G45" s="61"/>
      <c r="H45" s="36" t="str">
        <f t="shared" si="4"/>
        <v/>
      </c>
      <c r="I45" s="36" t="str">
        <f>IF(H45="","",H45*Assumptions!B17)</f>
        <v/>
      </c>
      <c r="J45" s="33" t="str">
        <f t="shared" si="5"/>
        <v/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0</v>
      </c>
      <c r="E54" s="30"/>
      <c r="F54" s="29">
        <f>SUM(F44:F53)</f>
        <v>0</v>
      </c>
      <c r="G54" s="30"/>
      <c r="H54" s="39">
        <f>SUM(H44:H53)</f>
        <v>0</v>
      </c>
      <c r="I54" s="39">
        <f>SUM(I44:I53)</f>
        <v>0</v>
      </c>
      <c r="J54" s="39">
        <f>SUM(J44:J53)</f>
        <v>0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65"/>
      <c r="B58" s="65"/>
      <c r="C58" s="60"/>
      <c r="D58" s="61"/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62"/>
      <c r="I58" s="33" t="str">
        <f>IF(G58="","",G58*H58)</f>
        <v/>
      </c>
      <c r="J58" s="65"/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Allocations'!E8</f>
        <v>23670.67</v>
      </c>
      <c r="C67" s="36">
        <f>B67*1</f>
        <v>23670.67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23670.67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Allocations'!E8</f>
        <v>23670.67</v>
      </c>
      <c r="C68" s="36">
        <f>B68*2</f>
        <v>47341.34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47341.34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Allocations'!E8</f>
        <v>23670.67</v>
      </c>
      <c r="C69" s="36">
        <f>B69*3</f>
        <v>71012.009999999995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71012.009999999995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Allocations'!E8</f>
        <v>23670.67</v>
      </c>
      <c r="C70" s="36">
        <f>B70*4</f>
        <v>94682.68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94682.68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Allocations'!E8</f>
        <v>23670.67</v>
      </c>
      <c r="C71" s="36">
        <f>B71*5</f>
        <v>118353.34999999999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118353.34999999999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Allocations'!E8</f>
        <v>23670.67</v>
      </c>
      <c r="C72" s="36">
        <f>B72*6</f>
        <v>142024.01999999999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142024.01999999999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Allocations'!E8</f>
        <v>23670.67</v>
      </c>
      <c r="C73" s="36">
        <f>B73*7</f>
        <v>165694.69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165694.69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Allocations'!E8</f>
        <v>23670.67</v>
      </c>
      <c r="C74" s="36">
        <f>B74*8</f>
        <v>189365.36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189365.36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Allocations'!E8</f>
        <v>23670.67</v>
      </c>
      <c r="C75" s="36">
        <f>B75*9</f>
        <v>213036.02999999997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213036.02999999997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Allocations'!E8</f>
        <v>23670.67</v>
      </c>
      <c r="C76" s="36">
        <f>B76*10</f>
        <v>236706.69999999998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236706.69999999998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Allocations'!E8</f>
        <v>23670.67</v>
      </c>
      <c r="C77" s="36">
        <f>B77*11</f>
        <v>260377.37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260377.37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Allocations'!E8</f>
        <v>23670.67</v>
      </c>
      <c r="C78" s="36">
        <f>B78*12</f>
        <v>284048.03999999998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284048.03999999998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284048.03999999992</v>
      </c>
      <c r="C79" s="39">
        <f>C78</f>
        <v>284048.03999999998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284048.03999999998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8947.5671999999995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163.9776</v>
      </c>
    </row>
    <row r="87" spans="1:10" ht="18" customHeight="1" x14ac:dyDescent="0.25">
      <c r="A87" s="13" t="s">
        <v>389</v>
      </c>
      <c r="B87" s="37">
        <f>B85-B86</f>
        <v>-163.9776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NO — Below 50%</v>
      </c>
    </row>
    <row r="90" spans="1:10" ht="18" customHeight="1" x14ac:dyDescent="0.25">
      <c r="A90" s="13" t="s">
        <v>392</v>
      </c>
      <c r="B90" s="33">
        <f>J54</f>
        <v>0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0</v>
      </c>
    </row>
    <row r="93" spans="1:10" ht="18" customHeight="1" x14ac:dyDescent="0.25">
      <c r="A93" s="13" t="s">
        <v>395</v>
      </c>
      <c r="B93" s="33">
        <f>'Practice Allocations'!D8-B94</f>
        <v>284048.03999999998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65"/>
      <c r="B97" s="65"/>
      <c r="C97" s="65"/>
      <c r="D97" s="61"/>
      <c r="E97" s="65"/>
      <c r="F97" s="65"/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79"/>
      <c r="B105" s="65"/>
      <c r="C105" s="65"/>
      <c r="D105" s="65"/>
      <c r="E105" s="79"/>
      <c r="F105" s="15"/>
      <c r="G105" s="15"/>
      <c r="H105" s="15"/>
      <c r="I105" s="15"/>
      <c r="J105" s="15"/>
    </row>
    <row r="106" spans="1:10" ht="18" customHeight="1" x14ac:dyDescent="0.25">
      <c r="A106" s="79"/>
      <c r="B106" s="65"/>
      <c r="C106" s="65"/>
      <c r="D106" s="65"/>
      <c r="E106" s="79"/>
      <c r="F106" s="55"/>
      <c r="G106" s="55"/>
      <c r="H106" s="55"/>
      <c r="I106" s="55"/>
      <c r="J106" s="55"/>
    </row>
    <row r="107" spans="1:10" ht="18" customHeight="1" x14ac:dyDescent="0.25">
      <c r="A107" s="79"/>
      <c r="B107" s="65"/>
      <c r="C107" s="65"/>
      <c r="D107" s="65"/>
      <c r="E107" s="79"/>
      <c r="F107" s="15"/>
      <c r="G107" s="15"/>
      <c r="H107" s="15"/>
      <c r="I107" s="15"/>
      <c r="J107" s="15"/>
    </row>
    <row r="108" spans="1:10" ht="18" customHeight="1" x14ac:dyDescent="0.25">
      <c r="A108" s="79"/>
      <c r="B108" s="65"/>
      <c r="C108" s="65"/>
      <c r="D108" s="65"/>
      <c r="E108" s="79"/>
      <c r="F108" s="55"/>
      <c r="G108" s="55"/>
      <c r="H108" s="55"/>
      <c r="I108" s="55"/>
      <c r="J108" s="55"/>
    </row>
    <row r="109" spans="1:10" ht="18" customHeight="1" x14ac:dyDescent="0.25">
      <c r="A109" s="79"/>
      <c r="B109" s="65"/>
      <c r="C109" s="65"/>
      <c r="D109" s="65"/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0F00-000000000000}">
      <formula1>"New SDA,Buy-Back,Existing (Buy-Back Pending)"</formula1>
      <formula2>0</formula2>
    </dataValidation>
    <dataValidation type="list" allowBlank="1" sqref="J58:J62" xr:uid="{00000000-0002-0000-0F00-000001000000}">
      <formula1>"Draft,Submitted,Under Review,Approved,Rejected"</formula1>
      <formula2>0</formula2>
    </dataValidation>
    <dataValidation type="list" allowBlank="1" sqref="F97:F101" xr:uid="{00000000-0002-0000-0F00-000002000000}">
      <formula1>"Planned,Recruiting,In Post,Delayed,Not Started"</formula1>
      <formula2>0</formula2>
    </dataValidation>
    <dataValidation type="list" allowBlank="1" sqref="D105:D114" xr:uid="{00000000-0002-0000-0F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6A085"/>
  </sheetPr>
  <dimension ref="A1:J1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421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Assumptions!A34</f>
        <v>Brook Health Centre</v>
      </c>
    </row>
    <row r="6" spans="1:10" ht="18" customHeight="1" x14ac:dyDescent="0.25">
      <c r="A6" s="13" t="s">
        <v>55</v>
      </c>
      <c r="B6" s="57">
        <f>Assumptions!B34</f>
        <v>9069</v>
      </c>
    </row>
    <row r="7" spans="1:10" ht="18" customHeight="1" x14ac:dyDescent="0.25">
      <c r="A7" s="13" t="s">
        <v>345</v>
      </c>
      <c r="B7" s="13" t="s">
        <v>64</v>
      </c>
    </row>
    <row r="8" spans="1:10" ht="18" customHeight="1" x14ac:dyDescent="0.25">
      <c r="A8" s="13" t="s">
        <v>57</v>
      </c>
      <c r="B8" s="13" t="s">
        <v>61</v>
      </c>
    </row>
    <row r="9" spans="1:10" ht="18" customHeight="1" x14ac:dyDescent="0.25">
      <c r="A9" s="13" t="s">
        <v>346</v>
      </c>
      <c r="B9" s="58">
        <f>Assumptions!E34</f>
        <v>0.10123459546347562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Allocations'!D9</f>
        <v>238786.77</v>
      </c>
    </row>
    <row r="14" spans="1:10" ht="18" customHeight="1" x14ac:dyDescent="0.25">
      <c r="A14" s="13" t="s">
        <v>349</v>
      </c>
      <c r="B14" s="33">
        <f>'Practice Allocations'!E9</f>
        <v>19898.897499999999</v>
      </c>
    </row>
    <row r="15" spans="1:10" ht="18" customHeight="1" x14ac:dyDescent="0.25">
      <c r="A15" s="13" t="s">
        <v>350</v>
      </c>
      <c r="B15" s="33">
        <f>'Practice Allocations'!F9</f>
        <v>179090.07749999998</v>
      </c>
    </row>
    <row r="16" spans="1:10" ht="18" customHeight="1" x14ac:dyDescent="0.25">
      <c r="A16" s="13" t="s">
        <v>351</v>
      </c>
      <c r="B16" s="33">
        <f>'Practice Allocations'!D9*Assumptions!B16</f>
        <v>59696.692499999997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Allocations'!G9</f>
        <v>137.84880000000001</v>
      </c>
      <c r="D20" s="74">
        <f>'Practice Allocations'!H9</f>
        <v>68.924400000000006</v>
      </c>
      <c r="E20" s="74">
        <f>'Practice Allocations'!I9</f>
        <v>68.924400000000006</v>
      </c>
      <c r="F20" s="75">
        <f>B20*C20</f>
        <v>5376.1032000000005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Allocations'!J9</f>
        <v>165.0558</v>
      </c>
      <c r="D21" s="78">
        <f>'Practice Allocations'!K9</f>
        <v>82.527900000000002</v>
      </c>
      <c r="E21" s="78">
        <f>'Practice Allocations'!L9</f>
        <v>82.527900000000002</v>
      </c>
      <c r="F21" s="54">
        <f>B21*C21</f>
        <v>2145.7254000000003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Allocations'!M9</f>
        <v>7521.8286000000007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137.84880000000001</v>
      </c>
      <c r="D26" s="60"/>
      <c r="E26" s="60"/>
      <c r="F26" s="57">
        <f t="shared" ref="F26:F38" si="0">D26+E26</f>
        <v>0</v>
      </c>
      <c r="G26" s="38">
        <f t="shared" ref="G26:G39" si="1">F26-C26</f>
        <v>-137.84880000000001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137.84880000000001</v>
      </c>
      <c r="D27" s="60"/>
      <c r="E27" s="60"/>
      <c r="F27" s="57">
        <f t="shared" si="0"/>
        <v>0</v>
      </c>
      <c r="G27" s="38">
        <f t="shared" si="1"/>
        <v>-137.84880000000001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137.84880000000001</v>
      </c>
      <c r="D28" s="60"/>
      <c r="E28" s="60"/>
      <c r="F28" s="57">
        <f t="shared" si="0"/>
        <v>0</v>
      </c>
      <c r="G28" s="38">
        <f t="shared" si="1"/>
        <v>-137.84880000000001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137.84880000000001</v>
      </c>
      <c r="D29" s="60"/>
      <c r="E29" s="60"/>
      <c r="F29" s="57">
        <f t="shared" si="0"/>
        <v>0</v>
      </c>
      <c r="G29" s="38">
        <f t="shared" si="1"/>
        <v>-137.84880000000001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137.84880000000001</v>
      </c>
      <c r="D30" s="60"/>
      <c r="E30" s="60"/>
      <c r="F30" s="57">
        <f t="shared" si="0"/>
        <v>0</v>
      </c>
      <c r="G30" s="38">
        <f t="shared" si="1"/>
        <v>-137.84880000000001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137.84880000000001</v>
      </c>
      <c r="D31" s="60"/>
      <c r="E31" s="60"/>
      <c r="F31" s="57">
        <f t="shared" si="0"/>
        <v>0</v>
      </c>
      <c r="G31" s="38">
        <f t="shared" si="1"/>
        <v>-137.84880000000001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137.84880000000001</v>
      </c>
      <c r="D32" s="60"/>
      <c r="E32" s="60"/>
      <c r="F32" s="57">
        <f t="shared" si="0"/>
        <v>0</v>
      </c>
      <c r="G32" s="38">
        <f t="shared" si="1"/>
        <v>-137.84880000000001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137.84880000000001</v>
      </c>
      <c r="D33" s="60"/>
      <c r="E33" s="60"/>
      <c r="F33" s="57">
        <f t="shared" si="0"/>
        <v>0</v>
      </c>
      <c r="G33" s="38">
        <f t="shared" si="1"/>
        <v>-137.84880000000001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137.84880000000001</v>
      </c>
      <c r="D34" s="60"/>
      <c r="E34" s="60"/>
      <c r="F34" s="57">
        <f t="shared" si="0"/>
        <v>0</v>
      </c>
      <c r="G34" s="38">
        <f t="shared" si="1"/>
        <v>-137.84880000000001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137.84880000000001</v>
      </c>
      <c r="D35" s="60"/>
      <c r="E35" s="60"/>
      <c r="F35" s="57">
        <f t="shared" si="0"/>
        <v>0</v>
      </c>
      <c r="G35" s="38">
        <f t="shared" si="1"/>
        <v>-137.84880000000001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137.84880000000001</v>
      </c>
      <c r="D36" s="60"/>
      <c r="E36" s="60"/>
      <c r="F36" s="57">
        <f t="shared" si="0"/>
        <v>0</v>
      </c>
      <c r="G36" s="38">
        <f t="shared" si="1"/>
        <v>-137.84880000000001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137.84880000000001</v>
      </c>
      <c r="D37" s="60"/>
      <c r="E37" s="60"/>
      <c r="F37" s="57">
        <f t="shared" si="0"/>
        <v>0</v>
      </c>
      <c r="G37" s="38">
        <f t="shared" si="1"/>
        <v>-137.84880000000001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137.84880000000001</v>
      </c>
      <c r="D38" s="60"/>
      <c r="E38" s="60"/>
      <c r="F38" s="57">
        <f t="shared" si="0"/>
        <v>0</v>
      </c>
      <c r="G38" s="38">
        <f t="shared" si="1"/>
        <v>-137.84880000000001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1792.0344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-1792.0344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65"/>
      <c r="B44" s="65"/>
      <c r="C44" s="65"/>
      <c r="D44" s="60"/>
      <c r="E44" s="60"/>
      <c r="F44" s="26" t="str">
        <f t="shared" ref="F44:F53" si="3">IF(D44="","",D44*E44)</f>
        <v/>
      </c>
      <c r="G44" s="61"/>
      <c r="H44" s="36" t="str">
        <f t="shared" ref="H44:H53" si="4">IF(D44="","",D44*G44)</f>
        <v/>
      </c>
      <c r="I44" s="36" t="str">
        <f>IF(H44="","",H44*Assumptions!B17)</f>
        <v/>
      </c>
      <c r="J44" s="33" t="str">
        <f t="shared" ref="J44:J53" si="5">IF(H44="","",H44+I44)</f>
        <v/>
      </c>
    </row>
    <row r="45" spans="1:10" ht="18" customHeight="1" x14ac:dyDescent="0.25">
      <c r="A45" s="65"/>
      <c r="B45" s="65"/>
      <c r="C45" s="65"/>
      <c r="D45" s="60"/>
      <c r="E45" s="60"/>
      <c r="F45" s="26" t="str">
        <f t="shared" si="3"/>
        <v/>
      </c>
      <c r="G45" s="61"/>
      <c r="H45" s="36" t="str">
        <f t="shared" si="4"/>
        <v/>
      </c>
      <c r="I45" s="36" t="str">
        <f>IF(H45="","",H45*Assumptions!B17)</f>
        <v/>
      </c>
      <c r="J45" s="33" t="str">
        <f t="shared" si="5"/>
        <v/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0</v>
      </c>
      <c r="E54" s="30"/>
      <c r="F54" s="29">
        <f>SUM(F44:F53)</f>
        <v>0</v>
      </c>
      <c r="G54" s="30"/>
      <c r="H54" s="39">
        <f>SUM(H44:H53)</f>
        <v>0</v>
      </c>
      <c r="I54" s="39">
        <f>SUM(I44:I53)</f>
        <v>0</v>
      </c>
      <c r="J54" s="39">
        <f>SUM(J44:J53)</f>
        <v>0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65"/>
      <c r="B58" s="65"/>
      <c r="C58" s="60"/>
      <c r="D58" s="61"/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62"/>
      <c r="I58" s="33" t="str">
        <f>IF(G58="","",G58*H58)</f>
        <v/>
      </c>
      <c r="J58" s="65"/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Allocations'!E9</f>
        <v>19898.897499999999</v>
      </c>
      <c r="C67" s="36">
        <f>B67*1</f>
        <v>19898.897499999999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19898.897499999999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Allocations'!E9</f>
        <v>19898.897499999999</v>
      </c>
      <c r="C68" s="36">
        <f>B68*2</f>
        <v>39797.794999999998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39797.794999999998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Allocations'!E9</f>
        <v>19898.897499999999</v>
      </c>
      <c r="C69" s="36">
        <f>B69*3</f>
        <v>59696.692499999997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59696.692499999997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Allocations'!E9</f>
        <v>19898.897499999999</v>
      </c>
      <c r="C70" s="36">
        <f>B70*4</f>
        <v>79595.59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79595.59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Allocations'!E9</f>
        <v>19898.897499999999</v>
      </c>
      <c r="C71" s="36">
        <f>B71*5</f>
        <v>99494.487499999988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99494.487499999988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Allocations'!E9</f>
        <v>19898.897499999999</v>
      </c>
      <c r="C72" s="36">
        <f>B72*6</f>
        <v>119393.38499999999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119393.38499999999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Allocations'!E9</f>
        <v>19898.897499999999</v>
      </c>
      <c r="C73" s="36">
        <f>B73*7</f>
        <v>139292.2825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139292.2825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Allocations'!E9</f>
        <v>19898.897499999999</v>
      </c>
      <c r="C74" s="36">
        <f>B74*8</f>
        <v>159191.18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159191.18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Allocations'!E9</f>
        <v>19898.897499999999</v>
      </c>
      <c r="C75" s="36">
        <f>B75*9</f>
        <v>179090.07749999998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179090.07749999998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Allocations'!E9</f>
        <v>19898.897499999999</v>
      </c>
      <c r="C76" s="36">
        <f>B76*10</f>
        <v>198988.97499999998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198988.97499999998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Allocations'!E9</f>
        <v>19898.897499999999</v>
      </c>
      <c r="C77" s="36">
        <f>B77*11</f>
        <v>218887.8725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218887.8725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Allocations'!E9</f>
        <v>19898.897499999999</v>
      </c>
      <c r="C78" s="36">
        <f>B78*12</f>
        <v>238786.77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238786.77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238786.76999999993</v>
      </c>
      <c r="C79" s="39">
        <f>C78</f>
        <v>238786.77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238786.77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7521.8286000000007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137.84880000000001</v>
      </c>
    </row>
    <row r="87" spans="1:10" ht="18" customHeight="1" x14ac:dyDescent="0.25">
      <c r="A87" s="13" t="s">
        <v>389</v>
      </c>
      <c r="B87" s="37">
        <f>B85-B86</f>
        <v>-137.84880000000001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NO — Below 50%</v>
      </c>
    </row>
    <row r="90" spans="1:10" ht="18" customHeight="1" x14ac:dyDescent="0.25">
      <c r="A90" s="13" t="s">
        <v>392</v>
      </c>
      <c r="B90" s="33">
        <f>J54</f>
        <v>0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0</v>
      </c>
    </row>
    <row r="93" spans="1:10" ht="18" customHeight="1" x14ac:dyDescent="0.25">
      <c r="A93" s="13" t="s">
        <v>395</v>
      </c>
      <c r="B93" s="33">
        <f>'Practice Allocations'!D9-B94</f>
        <v>238786.77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65"/>
      <c r="B97" s="65"/>
      <c r="C97" s="65"/>
      <c r="D97" s="61"/>
      <c r="E97" s="65"/>
      <c r="F97" s="65"/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79"/>
      <c r="B105" s="65"/>
      <c r="C105" s="65"/>
      <c r="D105" s="65"/>
      <c r="E105" s="79"/>
      <c r="F105" s="15"/>
      <c r="G105" s="15"/>
      <c r="H105" s="15"/>
      <c r="I105" s="15"/>
      <c r="J105" s="15"/>
    </row>
    <row r="106" spans="1:10" ht="18" customHeight="1" x14ac:dyDescent="0.25">
      <c r="A106" s="79"/>
      <c r="B106" s="65"/>
      <c r="C106" s="65"/>
      <c r="D106" s="65"/>
      <c r="E106" s="79"/>
      <c r="F106" s="55"/>
      <c r="G106" s="55"/>
      <c r="H106" s="55"/>
      <c r="I106" s="55"/>
      <c r="J106" s="55"/>
    </row>
    <row r="107" spans="1:10" ht="18" customHeight="1" x14ac:dyDescent="0.25">
      <c r="A107" s="79"/>
      <c r="B107" s="65"/>
      <c r="C107" s="65"/>
      <c r="D107" s="65"/>
      <c r="E107" s="79"/>
      <c r="F107" s="15"/>
      <c r="G107" s="15"/>
      <c r="H107" s="15"/>
      <c r="I107" s="15"/>
      <c r="J107" s="15"/>
    </row>
    <row r="108" spans="1:10" ht="18" customHeight="1" x14ac:dyDescent="0.25">
      <c r="A108" s="79"/>
      <c r="B108" s="65"/>
      <c r="C108" s="65"/>
      <c r="D108" s="65"/>
      <c r="E108" s="79"/>
      <c r="F108" s="55"/>
      <c r="G108" s="55"/>
      <c r="H108" s="55"/>
      <c r="I108" s="55"/>
      <c r="J108" s="55"/>
    </row>
    <row r="109" spans="1:10" ht="18" customHeight="1" x14ac:dyDescent="0.25">
      <c r="A109" s="79"/>
      <c r="B109" s="65"/>
      <c r="C109" s="65"/>
      <c r="D109" s="65"/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1000-000000000000}">
      <formula1>"New SDA,Buy-Back,Existing (Buy-Back Pending)"</formula1>
      <formula2>0</formula2>
    </dataValidation>
    <dataValidation type="list" allowBlank="1" sqref="J58:J62" xr:uid="{00000000-0002-0000-1000-000001000000}">
      <formula1>"Draft,Submitted,Under Review,Approved,Rejected"</formula1>
      <formula2>0</formula2>
    </dataValidation>
    <dataValidation type="list" allowBlank="1" sqref="F97:F101" xr:uid="{00000000-0002-0000-1000-000002000000}">
      <formula1>"Planned,Recruiting,In Post,Delayed,Not Started"</formula1>
      <formula2>0</formula2>
    </dataValidation>
    <dataValidation type="list" allowBlank="1" sqref="D105:D114" xr:uid="{00000000-0002-0000-10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C3E50"/>
  </sheetPr>
  <dimension ref="A1:J114"/>
  <sheetViews>
    <sheetView zoomScaleNormal="100" workbookViewId="0">
      <pane ySplit="3" topLeftCell="A91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18" customWidth="1"/>
    <col min="3" max="10" width="16" customWidth="1"/>
  </cols>
  <sheetData>
    <row r="1" spans="1:10" ht="27.75" customHeight="1" x14ac:dyDescent="0.25">
      <c r="A1" s="11" t="s">
        <v>422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5">
      <c r="A2" s="10" t="s">
        <v>343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 x14ac:dyDescent="0.25">
      <c r="A4" s="9" t="s">
        <v>344</v>
      </c>
      <c r="B4" s="9"/>
      <c r="C4" s="9"/>
      <c r="D4" s="9"/>
      <c r="E4" s="9"/>
      <c r="F4" s="9"/>
      <c r="G4" s="9"/>
      <c r="H4" s="9"/>
      <c r="I4" s="9"/>
      <c r="J4" s="9"/>
    </row>
    <row r="5" spans="1:10" ht="18" customHeight="1" x14ac:dyDescent="0.25">
      <c r="A5" s="13" t="s">
        <v>108</v>
      </c>
      <c r="B5" s="13" t="str">
        <f>Assumptions!A35</f>
        <v>Denton Village Surgery</v>
      </c>
    </row>
    <row r="6" spans="1:10" ht="18" customHeight="1" x14ac:dyDescent="0.25">
      <c r="A6" s="13" t="s">
        <v>55</v>
      </c>
      <c r="B6" s="57">
        <f>Assumptions!B35</f>
        <v>6329</v>
      </c>
    </row>
    <row r="7" spans="1:10" ht="18" customHeight="1" x14ac:dyDescent="0.25">
      <c r="A7" s="13" t="s">
        <v>345</v>
      </c>
      <c r="B7" s="13" t="s">
        <v>64</v>
      </c>
    </row>
    <row r="8" spans="1:10" ht="18" customHeight="1" x14ac:dyDescent="0.25">
      <c r="A8" s="13" t="s">
        <v>57</v>
      </c>
      <c r="B8" s="13" t="s">
        <v>61</v>
      </c>
    </row>
    <row r="9" spans="1:10" ht="18" customHeight="1" x14ac:dyDescent="0.25">
      <c r="A9" s="13" t="s">
        <v>346</v>
      </c>
      <c r="B9" s="58">
        <f>Assumptions!E35</f>
        <v>7.0648776567244151E-2</v>
      </c>
    </row>
    <row r="11" spans="1:10" ht="24" customHeight="1" x14ac:dyDescent="0.25">
      <c r="A11" s="9" t="s">
        <v>347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25">
      <c r="A12" s="12" t="s">
        <v>182</v>
      </c>
      <c r="B12" s="12" t="s">
        <v>4</v>
      </c>
      <c r="C12" s="12"/>
      <c r="D12" s="12"/>
      <c r="E12" s="12"/>
      <c r="F12" s="12"/>
      <c r="G12" s="12"/>
      <c r="H12" s="12"/>
      <c r="I12" s="12"/>
      <c r="J12" s="12"/>
    </row>
    <row r="13" spans="1:10" ht="18" customHeight="1" x14ac:dyDescent="0.25">
      <c r="A13" s="13" t="s">
        <v>348</v>
      </c>
      <c r="B13" s="33">
        <f>'Practice Allocations'!D10</f>
        <v>166642.56999999998</v>
      </c>
    </row>
    <row r="14" spans="1:10" ht="18" customHeight="1" x14ac:dyDescent="0.25">
      <c r="A14" s="13" t="s">
        <v>349</v>
      </c>
      <c r="B14" s="33">
        <f>'Practice Allocations'!E10</f>
        <v>13886.880833333331</v>
      </c>
    </row>
    <row r="15" spans="1:10" ht="18" customHeight="1" x14ac:dyDescent="0.25">
      <c r="A15" s="13" t="s">
        <v>350</v>
      </c>
      <c r="B15" s="33">
        <f>'Practice Allocations'!F10</f>
        <v>124981.92749999999</v>
      </c>
    </row>
    <row r="16" spans="1:10" ht="18" customHeight="1" x14ac:dyDescent="0.25">
      <c r="A16" s="13" t="s">
        <v>351</v>
      </c>
      <c r="B16" s="33">
        <f>'Practice Allocations'!D10*Assumptions!B16</f>
        <v>41660.642499999994</v>
      </c>
    </row>
    <row r="18" spans="1:10" ht="24" customHeight="1" x14ac:dyDescent="0.25">
      <c r="A18" s="9" t="s">
        <v>352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25">
      <c r="A19" s="12" t="s">
        <v>273</v>
      </c>
      <c r="B19" s="12" t="s">
        <v>353</v>
      </c>
      <c r="C19" s="12" t="s">
        <v>354</v>
      </c>
      <c r="D19" s="12" t="s">
        <v>101</v>
      </c>
      <c r="E19" s="12" t="s">
        <v>102</v>
      </c>
      <c r="F19" s="12" t="s">
        <v>355</v>
      </c>
      <c r="G19" s="12"/>
      <c r="H19" s="12"/>
      <c r="I19" s="12"/>
      <c r="J19" s="12"/>
    </row>
    <row r="20" spans="1:10" ht="18" customHeight="1" x14ac:dyDescent="0.25">
      <c r="A20" s="72" t="s">
        <v>169</v>
      </c>
      <c r="B20" s="67">
        <f>Assumptions!B10</f>
        <v>39</v>
      </c>
      <c r="C20" s="73">
        <f>'Practice Allocations'!G10</f>
        <v>96.200799999999987</v>
      </c>
      <c r="D20" s="74">
        <f>'Practice Allocations'!H10</f>
        <v>48.100399999999993</v>
      </c>
      <c r="E20" s="74">
        <f>'Practice Allocations'!I10</f>
        <v>48.100399999999993</v>
      </c>
      <c r="F20" s="75">
        <f>B20*C20</f>
        <v>3751.8311999999996</v>
      </c>
    </row>
    <row r="21" spans="1:10" ht="18" customHeight="1" x14ac:dyDescent="0.25">
      <c r="A21" s="53" t="s">
        <v>277</v>
      </c>
      <c r="B21" s="76">
        <f>Assumptions!B11</f>
        <v>13</v>
      </c>
      <c r="C21" s="77">
        <f>'Practice Allocations'!J10</f>
        <v>115.1878</v>
      </c>
      <c r="D21" s="78">
        <f>'Practice Allocations'!K10</f>
        <v>57.593899999999998</v>
      </c>
      <c r="E21" s="78">
        <f>'Practice Allocations'!L10</f>
        <v>57.593899999999998</v>
      </c>
      <c r="F21" s="54">
        <f>B21*C21</f>
        <v>1497.4413999999999</v>
      </c>
    </row>
    <row r="22" spans="1:10" ht="18" customHeight="1" x14ac:dyDescent="0.25">
      <c r="A22" s="28" t="s">
        <v>264</v>
      </c>
      <c r="B22" s="29">
        <f>B20+B21</f>
        <v>52</v>
      </c>
      <c r="C22" s="30"/>
      <c r="D22" s="30"/>
      <c r="E22" s="30"/>
      <c r="F22" s="29">
        <f>'Practice Allocations'!M10</f>
        <v>5249.2725999999993</v>
      </c>
    </row>
    <row r="24" spans="1:10" ht="24" customHeight="1" x14ac:dyDescent="0.25">
      <c r="A24" s="9" t="s">
        <v>356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25">
      <c r="A25" s="12" t="s">
        <v>272</v>
      </c>
      <c r="B25" s="12" t="s">
        <v>273</v>
      </c>
      <c r="C25" s="12" t="s">
        <v>357</v>
      </c>
      <c r="D25" s="12" t="s">
        <v>358</v>
      </c>
      <c r="E25" s="12" t="s">
        <v>359</v>
      </c>
      <c r="F25" s="12" t="s">
        <v>274</v>
      </c>
      <c r="G25" s="12" t="s">
        <v>111</v>
      </c>
      <c r="H25" s="12" t="s">
        <v>360</v>
      </c>
      <c r="I25" s="12" t="s">
        <v>361</v>
      </c>
      <c r="J25" s="12" t="s">
        <v>362</v>
      </c>
    </row>
    <row r="26" spans="1:10" ht="18" customHeight="1" x14ac:dyDescent="0.25">
      <c r="A26" s="26">
        <v>1</v>
      </c>
      <c r="B26" s="64" t="s">
        <v>169</v>
      </c>
      <c r="C26" s="38">
        <f>C20</f>
        <v>96.200799999999987</v>
      </c>
      <c r="D26" s="60"/>
      <c r="E26" s="60"/>
      <c r="F26" s="57">
        <f t="shared" ref="F26:F38" si="0">D26+E26</f>
        <v>0</v>
      </c>
      <c r="G26" s="38">
        <f t="shared" ref="G26:G39" si="1">F26-C26</f>
        <v>-96.200799999999987</v>
      </c>
      <c r="H26" s="27">
        <f t="shared" ref="H26:H39" si="2">IF(C26&gt;0,F26/C26,0)</f>
        <v>0</v>
      </c>
      <c r="I26" s="60"/>
      <c r="J26" s="60"/>
    </row>
    <row r="27" spans="1:10" ht="18" customHeight="1" x14ac:dyDescent="0.25">
      <c r="A27" s="26">
        <v>2</v>
      </c>
      <c r="B27" s="64" t="s">
        <v>169</v>
      </c>
      <c r="C27" s="38">
        <f>C20</f>
        <v>96.200799999999987</v>
      </c>
      <c r="D27" s="60"/>
      <c r="E27" s="60"/>
      <c r="F27" s="57">
        <f t="shared" si="0"/>
        <v>0</v>
      </c>
      <c r="G27" s="38">
        <f t="shared" si="1"/>
        <v>-96.200799999999987</v>
      </c>
      <c r="H27" s="27">
        <f t="shared" si="2"/>
        <v>0</v>
      </c>
      <c r="I27" s="60"/>
      <c r="J27" s="60"/>
    </row>
    <row r="28" spans="1:10" ht="18" customHeight="1" x14ac:dyDescent="0.25">
      <c r="A28" s="26">
        <v>3</v>
      </c>
      <c r="B28" s="64" t="s">
        <v>169</v>
      </c>
      <c r="C28" s="38">
        <f>C20</f>
        <v>96.200799999999987</v>
      </c>
      <c r="D28" s="60"/>
      <c r="E28" s="60"/>
      <c r="F28" s="57">
        <f t="shared" si="0"/>
        <v>0</v>
      </c>
      <c r="G28" s="38">
        <f t="shared" si="1"/>
        <v>-96.200799999999987</v>
      </c>
      <c r="H28" s="27">
        <f t="shared" si="2"/>
        <v>0</v>
      </c>
      <c r="I28" s="60"/>
      <c r="J28" s="60"/>
    </row>
    <row r="29" spans="1:10" ht="18" customHeight="1" x14ac:dyDescent="0.25">
      <c r="A29" s="26">
        <v>4</v>
      </c>
      <c r="B29" s="64" t="s">
        <v>169</v>
      </c>
      <c r="C29" s="38">
        <f>C20</f>
        <v>96.200799999999987</v>
      </c>
      <c r="D29" s="60"/>
      <c r="E29" s="60"/>
      <c r="F29" s="57">
        <f t="shared" si="0"/>
        <v>0</v>
      </c>
      <c r="G29" s="38">
        <f t="shared" si="1"/>
        <v>-96.200799999999987</v>
      </c>
      <c r="H29" s="27">
        <f t="shared" si="2"/>
        <v>0</v>
      </c>
      <c r="I29" s="60"/>
      <c r="J29" s="60"/>
    </row>
    <row r="30" spans="1:10" ht="18" customHeight="1" x14ac:dyDescent="0.25">
      <c r="A30" s="26">
        <v>5</v>
      </c>
      <c r="B30" s="64" t="s">
        <v>169</v>
      </c>
      <c r="C30" s="38">
        <f>C20</f>
        <v>96.200799999999987</v>
      </c>
      <c r="D30" s="60"/>
      <c r="E30" s="60"/>
      <c r="F30" s="57">
        <f t="shared" si="0"/>
        <v>0</v>
      </c>
      <c r="G30" s="38">
        <f t="shared" si="1"/>
        <v>-96.200799999999987</v>
      </c>
      <c r="H30" s="27">
        <f t="shared" si="2"/>
        <v>0</v>
      </c>
      <c r="I30" s="60"/>
      <c r="J30" s="60"/>
    </row>
    <row r="31" spans="1:10" ht="18" customHeight="1" x14ac:dyDescent="0.25">
      <c r="A31" s="26">
        <v>6</v>
      </c>
      <c r="B31" s="64" t="s">
        <v>169</v>
      </c>
      <c r="C31" s="38">
        <f>C20</f>
        <v>96.200799999999987</v>
      </c>
      <c r="D31" s="60"/>
      <c r="E31" s="60"/>
      <c r="F31" s="57">
        <f t="shared" si="0"/>
        <v>0</v>
      </c>
      <c r="G31" s="38">
        <f t="shared" si="1"/>
        <v>-96.200799999999987</v>
      </c>
      <c r="H31" s="27">
        <f t="shared" si="2"/>
        <v>0</v>
      </c>
      <c r="I31" s="60"/>
      <c r="J31" s="60"/>
    </row>
    <row r="32" spans="1:10" ht="18" customHeight="1" x14ac:dyDescent="0.25">
      <c r="A32" s="26">
        <v>7</v>
      </c>
      <c r="B32" s="64" t="s">
        <v>169</v>
      </c>
      <c r="C32" s="38">
        <f>C20</f>
        <v>96.200799999999987</v>
      </c>
      <c r="D32" s="60"/>
      <c r="E32" s="60"/>
      <c r="F32" s="57">
        <f t="shared" si="0"/>
        <v>0</v>
      </c>
      <c r="G32" s="38">
        <f t="shared" si="1"/>
        <v>-96.200799999999987</v>
      </c>
      <c r="H32" s="27">
        <f t="shared" si="2"/>
        <v>0</v>
      </c>
      <c r="I32" s="60"/>
      <c r="J32" s="60"/>
    </row>
    <row r="33" spans="1:10" ht="18" customHeight="1" x14ac:dyDescent="0.25">
      <c r="A33" s="26">
        <v>8</v>
      </c>
      <c r="B33" s="64" t="s">
        <v>169</v>
      </c>
      <c r="C33" s="38">
        <f>C20</f>
        <v>96.200799999999987</v>
      </c>
      <c r="D33" s="60"/>
      <c r="E33" s="60"/>
      <c r="F33" s="57">
        <f t="shared" si="0"/>
        <v>0</v>
      </c>
      <c r="G33" s="38">
        <f t="shared" si="1"/>
        <v>-96.200799999999987</v>
      </c>
      <c r="H33" s="27">
        <f t="shared" si="2"/>
        <v>0</v>
      </c>
      <c r="I33" s="60"/>
      <c r="J33" s="60"/>
    </row>
    <row r="34" spans="1:10" ht="18" customHeight="1" x14ac:dyDescent="0.25">
      <c r="A34" s="26">
        <v>9</v>
      </c>
      <c r="B34" s="64" t="s">
        <v>169</v>
      </c>
      <c r="C34" s="38">
        <f>C20</f>
        <v>96.200799999999987</v>
      </c>
      <c r="D34" s="60"/>
      <c r="E34" s="60"/>
      <c r="F34" s="57">
        <f t="shared" si="0"/>
        <v>0</v>
      </c>
      <c r="G34" s="38">
        <f t="shared" si="1"/>
        <v>-96.200799999999987</v>
      </c>
      <c r="H34" s="27">
        <f t="shared" si="2"/>
        <v>0</v>
      </c>
      <c r="I34" s="60"/>
      <c r="J34" s="60"/>
    </row>
    <row r="35" spans="1:10" ht="18" customHeight="1" x14ac:dyDescent="0.25">
      <c r="A35" s="26">
        <v>10</v>
      </c>
      <c r="B35" s="64" t="s">
        <v>169</v>
      </c>
      <c r="C35" s="38">
        <f>C20</f>
        <v>96.200799999999987</v>
      </c>
      <c r="D35" s="60"/>
      <c r="E35" s="60"/>
      <c r="F35" s="57">
        <f t="shared" si="0"/>
        <v>0</v>
      </c>
      <c r="G35" s="38">
        <f t="shared" si="1"/>
        <v>-96.200799999999987</v>
      </c>
      <c r="H35" s="27">
        <f t="shared" si="2"/>
        <v>0</v>
      </c>
      <c r="I35" s="60"/>
      <c r="J35" s="60"/>
    </row>
    <row r="36" spans="1:10" ht="18" customHeight="1" x14ac:dyDescent="0.25">
      <c r="A36" s="26">
        <v>11</v>
      </c>
      <c r="B36" s="64" t="s">
        <v>169</v>
      </c>
      <c r="C36" s="38">
        <f>C20</f>
        <v>96.200799999999987</v>
      </c>
      <c r="D36" s="60"/>
      <c r="E36" s="60"/>
      <c r="F36" s="57">
        <f t="shared" si="0"/>
        <v>0</v>
      </c>
      <c r="G36" s="38">
        <f t="shared" si="1"/>
        <v>-96.200799999999987</v>
      </c>
      <c r="H36" s="27">
        <f t="shared" si="2"/>
        <v>0</v>
      </c>
      <c r="I36" s="60"/>
      <c r="J36" s="60"/>
    </row>
    <row r="37" spans="1:10" ht="18" customHeight="1" x14ac:dyDescent="0.25">
      <c r="A37" s="26">
        <v>12</v>
      </c>
      <c r="B37" s="64" t="s">
        <v>169</v>
      </c>
      <c r="C37" s="38">
        <f>C20</f>
        <v>96.200799999999987</v>
      </c>
      <c r="D37" s="60"/>
      <c r="E37" s="60"/>
      <c r="F37" s="57">
        <f t="shared" si="0"/>
        <v>0</v>
      </c>
      <c r="G37" s="38">
        <f t="shared" si="1"/>
        <v>-96.200799999999987</v>
      </c>
      <c r="H37" s="27">
        <f t="shared" si="2"/>
        <v>0</v>
      </c>
      <c r="I37" s="60"/>
      <c r="J37" s="60"/>
    </row>
    <row r="38" spans="1:10" ht="18" customHeight="1" x14ac:dyDescent="0.25">
      <c r="A38" s="26">
        <v>13</v>
      </c>
      <c r="B38" s="64" t="s">
        <v>169</v>
      </c>
      <c r="C38" s="38">
        <f>C20</f>
        <v>96.200799999999987</v>
      </c>
      <c r="D38" s="60"/>
      <c r="E38" s="60"/>
      <c r="F38" s="57">
        <f t="shared" si="0"/>
        <v>0</v>
      </c>
      <c r="G38" s="38">
        <f t="shared" si="1"/>
        <v>-96.200799999999987</v>
      </c>
      <c r="H38" s="27">
        <f t="shared" si="2"/>
        <v>0</v>
      </c>
      <c r="I38" s="60"/>
      <c r="J38" s="60"/>
    </row>
    <row r="39" spans="1:10" ht="18" customHeight="1" x14ac:dyDescent="0.25">
      <c r="A39" s="28" t="s">
        <v>363</v>
      </c>
      <c r="B39" s="30"/>
      <c r="C39" s="29">
        <f>SUM(C26:C38)</f>
        <v>1250.6103999999998</v>
      </c>
      <c r="D39" s="29">
        <f>SUM(D26:D38)</f>
        <v>0</v>
      </c>
      <c r="E39" s="29">
        <f>SUM(E26:E38)</f>
        <v>0</v>
      </c>
      <c r="F39" s="29">
        <f>SUM(F26:F38)</f>
        <v>0</v>
      </c>
      <c r="G39" s="29">
        <f t="shared" si="1"/>
        <v>-1250.6103999999998</v>
      </c>
      <c r="H39" s="31">
        <f t="shared" si="2"/>
        <v>0</v>
      </c>
      <c r="I39" s="29">
        <f>SUM(I26:I38)</f>
        <v>0</v>
      </c>
      <c r="J39" s="29">
        <f>SUM(J26:J38)</f>
        <v>0</v>
      </c>
    </row>
    <row r="40" spans="1:10" ht="18" customHeight="1" x14ac:dyDescent="0.25">
      <c r="A40" s="13" t="s">
        <v>364</v>
      </c>
      <c r="B40" s="13" t="str">
        <f>IF(H39&gt;=1,"GREEN",IF(H39&gt;=0.8,"AMBER","RED"))</f>
        <v>RED</v>
      </c>
    </row>
    <row r="42" spans="1:10" ht="24" customHeight="1" x14ac:dyDescent="0.25">
      <c r="A42" s="9" t="s">
        <v>365</v>
      </c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25">
      <c r="A43" s="12" t="s">
        <v>173</v>
      </c>
      <c r="B43" s="12" t="s">
        <v>72</v>
      </c>
      <c r="C43" s="12" t="s">
        <v>280</v>
      </c>
      <c r="D43" s="12" t="s">
        <v>196</v>
      </c>
      <c r="E43" s="12" t="s">
        <v>366</v>
      </c>
      <c r="F43" s="12" t="s">
        <v>367</v>
      </c>
      <c r="G43" s="12" t="s">
        <v>281</v>
      </c>
      <c r="H43" s="12" t="s">
        <v>198</v>
      </c>
      <c r="I43" s="12" t="s">
        <v>282</v>
      </c>
      <c r="J43" s="12" t="s">
        <v>368</v>
      </c>
    </row>
    <row r="44" spans="1:10" ht="18" customHeight="1" x14ac:dyDescent="0.25">
      <c r="A44" s="19" t="s">
        <v>209</v>
      </c>
      <c r="B44" s="19" t="s">
        <v>49</v>
      </c>
      <c r="C44" s="80" t="s">
        <v>361</v>
      </c>
      <c r="D44" s="17">
        <v>8</v>
      </c>
      <c r="E44" s="17">
        <v>12</v>
      </c>
      <c r="F44" s="26">
        <f t="shared" ref="F44:F53" si="3">IF(D44="","",D44*E44)</f>
        <v>96</v>
      </c>
      <c r="G44" s="25">
        <v>11000</v>
      </c>
      <c r="H44" s="36">
        <f t="shared" ref="H44:H53" si="4">IF(D44="","",D44*G44)</f>
        <v>88000</v>
      </c>
      <c r="I44" s="36">
        <f>IF(H44="","",H44*Assumptions!B17)</f>
        <v>25854.400000000001</v>
      </c>
      <c r="J44" s="33">
        <f t="shared" ref="J44:J53" si="5">IF(H44="","",H44+I44)</f>
        <v>113854.39999999999</v>
      </c>
    </row>
    <row r="45" spans="1:10" ht="18" customHeight="1" x14ac:dyDescent="0.25">
      <c r="A45" s="65"/>
      <c r="B45" s="65"/>
      <c r="C45" s="65"/>
      <c r="D45" s="60"/>
      <c r="E45" s="60"/>
      <c r="F45" s="26" t="str">
        <f t="shared" si="3"/>
        <v/>
      </c>
      <c r="G45" s="61"/>
      <c r="H45" s="36" t="str">
        <f t="shared" si="4"/>
        <v/>
      </c>
      <c r="I45" s="36" t="str">
        <f>IF(H45="","",H45*Assumptions!B17)</f>
        <v/>
      </c>
      <c r="J45" s="33" t="str">
        <f t="shared" si="5"/>
        <v/>
      </c>
    </row>
    <row r="46" spans="1:10" ht="18" customHeight="1" x14ac:dyDescent="0.25">
      <c r="A46" s="65"/>
      <c r="B46" s="65"/>
      <c r="C46" s="65"/>
      <c r="D46" s="60"/>
      <c r="E46" s="60"/>
      <c r="F46" s="26" t="str">
        <f t="shared" si="3"/>
        <v/>
      </c>
      <c r="G46" s="61"/>
      <c r="H46" s="36" t="str">
        <f t="shared" si="4"/>
        <v/>
      </c>
      <c r="I46" s="36" t="str">
        <f>IF(H46="","",H46*Assumptions!B17)</f>
        <v/>
      </c>
      <c r="J46" s="33" t="str">
        <f t="shared" si="5"/>
        <v/>
      </c>
    </row>
    <row r="47" spans="1:10" ht="18" customHeight="1" x14ac:dyDescent="0.25">
      <c r="A47" s="65"/>
      <c r="B47" s="65"/>
      <c r="C47" s="65"/>
      <c r="D47" s="60"/>
      <c r="E47" s="60"/>
      <c r="F47" s="26" t="str">
        <f t="shared" si="3"/>
        <v/>
      </c>
      <c r="G47" s="61"/>
      <c r="H47" s="36" t="str">
        <f t="shared" si="4"/>
        <v/>
      </c>
      <c r="I47" s="36" t="str">
        <f>IF(H47="","",H47*Assumptions!B17)</f>
        <v/>
      </c>
      <c r="J47" s="33" t="str">
        <f t="shared" si="5"/>
        <v/>
      </c>
    </row>
    <row r="48" spans="1:10" ht="18" customHeight="1" x14ac:dyDescent="0.25">
      <c r="A48" s="65"/>
      <c r="B48" s="65"/>
      <c r="C48" s="65"/>
      <c r="D48" s="60"/>
      <c r="E48" s="60"/>
      <c r="F48" s="26" t="str">
        <f t="shared" si="3"/>
        <v/>
      </c>
      <c r="G48" s="61"/>
      <c r="H48" s="36" t="str">
        <f t="shared" si="4"/>
        <v/>
      </c>
      <c r="I48" s="36" t="str">
        <f>IF(H48="","",H48*Assumptions!B17)</f>
        <v/>
      </c>
      <c r="J48" s="33" t="str">
        <f t="shared" si="5"/>
        <v/>
      </c>
    </row>
    <row r="49" spans="1:10" ht="18" customHeight="1" x14ac:dyDescent="0.25">
      <c r="A49" s="65"/>
      <c r="B49" s="65"/>
      <c r="C49" s="65"/>
      <c r="D49" s="60"/>
      <c r="E49" s="60"/>
      <c r="F49" s="26" t="str">
        <f t="shared" si="3"/>
        <v/>
      </c>
      <c r="G49" s="61"/>
      <c r="H49" s="36" t="str">
        <f t="shared" si="4"/>
        <v/>
      </c>
      <c r="I49" s="36" t="str">
        <f>IF(H49="","",H49*Assumptions!B17)</f>
        <v/>
      </c>
      <c r="J49" s="33" t="str">
        <f t="shared" si="5"/>
        <v/>
      </c>
    </row>
    <row r="50" spans="1:10" ht="18" customHeight="1" x14ac:dyDescent="0.25">
      <c r="A50" s="65"/>
      <c r="B50" s="65"/>
      <c r="C50" s="65"/>
      <c r="D50" s="60"/>
      <c r="E50" s="60"/>
      <c r="F50" s="26" t="str">
        <f t="shared" si="3"/>
        <v/>
      </c>
      <c r="G50" s="61"/>
      <c r="H50" s="36" t="str">
        <f t="shared" si="4"/>
        <v/>
      </c>
      <c r="I50" s="36" t="str">
        <f>IF(H50="","",H50*Assumptions!B17)</f>
        <v/>
      </c>
      <c r="J50" s="33" t="str">
        <f t="shared" si="5"/>
        <v/>
      </c>
    </row>
    <row r="51" spans="1:10" ht="18" customHeight="1" x14ac:dyDescent="0.25">
      <c r="A51" s="65"/>
      <c r="B51" s="65"/>
      <c r="C51" s="65"/>
      <c r="D51" s="60"/>
      <c r="E51" s="60"/>
      <c r="F51" s="26" t="str">
        <f t="shared" si="3"/>
        <v/>
      </c>
      <c r="G51" s="61"/>
      <c r="H51" s="36" t="str">
        <f t="shared" si="4"/>
        <v/>
      </c>
      <c r="I51" s="36" t="str">
        <f>IF(H51="","",H51*Assumptions!B17)</f>
        <v/>
      </c>
      <c r="J51" s="33" t="str">
        <f t="shared" si="5"/>
        <v/>
      </c>
    </row>
    <row r="52" spans="1:10" ht="18" customHeight="1" x14ac:dyDescent="0.25">
      <c r="A52" s="65"/>
      <c r="B52" s="65"/>
      <c r="C52" s="65"/>
      <c r="D52" s="60"/>
      <c r="E52" s="60"/>
      <c r="F52" s="26" t="str">
        <f t="shared" si="3"/>
        <v/>
      </c>
      <c r="G52" s="61"/>
      <c r="H52" s="36" t="str">
        <f t="shared" si="4"/>
        <v/>
      </c>
      <c r="I52" s="36" t="str">
        <f>IF(H52="","",H52*Assumptions!B17)</f>
        <v/>
      </c>
      <c r="J52" s="33" t="str">
        <f t="shared" si="5"/>
        <v/>
      </c>
    </row>
    <row r="53" spans="1:10" ht="18" customHeight="1" x14ac:dyDescent="0.25">
      <c r="A53" s="65"/>
      <c r="B53" s="65"/>
      <c r="C53" s="65"/>
      <c r="D53" s="60"/>
      <c r="E53" s="60"/>
      <c r="F53" s="26" t="str">
        <f t="shared" si="3"/>
        <v/>
      </c>
      <c r="G53" s="61"/>
      <c r="H53" s="36" t="str">
        <f t="shared" si="4"/>
        <v/>
      </c>
      <c r="I53" s="36" t="str">
        <f>IF(H53="","",H53*Assumptions!B17)</f>
        <v/>
      </c>
      <c r="J53" s="33" t="str">
        <f t="shared" si="5"/>
        <v/>
      </c>
    </row>
    <row r="54" spans="1:10" ht="18" customHeight="1" x14ac:dyDescent="0.25">
      <c r="A54" s="28" t="s">
        <v>369</v>
      </c>
      <c r="B54" s="30"/>
      <c r="C54" s="30"/>
      <c r="D54" s="29">
        <f>SUM(D44:D53)</f>
        <v>8</v>
      </c>
      <c r="E54" s="30"/>
      <c r="F54" s="29">
        <f>SUM(F44:F53)</f>
        <v>96</v>
      </c>
      <c r="G54" s="30"/>
      <c r="H54" s="39">
        <f>SUM(H44:H53)</f>
        <v>88000</v>
      </c>
      <c r="I54" s="39">
        <f>SUM(I44:I53)</f>
        <v>25854.400000000001</v>
      </c>
      <c r="J54" s="39">
        <f>SUM(J44:J53)</f>
        <v>113854.39999999999</v>
      </c>
    </row>
    <row r="56" spans="1:10" ht="24" customHeight="1" x14ac:dyDescent="0.25">
      <c r="A56" s="9" t="s">
        <v>370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25">
      <c r="A57" s="12" t="s">
        <v>173</v>
      </c>
      <c r="B57" s="12" t="s">
        <v>72</v>
      </c>
      <c r="C57" s="12" t="s">
        <v>196</v>
      </c>
      <c r="D57" s="12" t="s">
        <v>371</v>
      </c>
      <c r="E57" s="12" t="s">
        <v>372</v>
      </c>
      <c r="F57" s="12" t="s">
        <v>282</v>
      </c>
      <c r="G57" s="12" t="s">
        <v>373</v>
      </c>
      <c r="H57" s="12" t="s">
        <v>201</v>
      </c>
      <c r="I57" s="12" t="s">
        <v>374</v>
      </c>
      <c r="J57" s="12" t="s">
        <v>204</v>
      </c>
    </row>
    <row r="58" spans="1:10" ht="18" customHeight="1" x14ac:dyDescent="0.25">
      <c r="A58" s="19" t="s">
        <v>423</v>
      </c>
      <c r="B58" s="19" t="s">
        <v>49</v>
      </c>
      <c r="C58" s="17"/>
      <c r="D58" s="25">
        <v>11000</v>
      </c>
      <c r="E58" s="36" t="str">
        <f>IF(C58="","",C58*D58)</f>
        <v/>
      </c>
      <c r="F58" s="36" t="str">
        <f>IF(E58="","",E58*Assumptions!B17)</f>
        <v/>
      </c>
      <c r="G58" s="33" t="str">
        <f>IF(E58="","",E58+F58)</f>
        <v/>
      </c>
      <c r="H58" s="22">
        <v>1</v>
      </c>
      <c r="I58" s="33" t="str">
        <f>IF(G58="","",G58*H58)</f>
        <v/>
      </c>
      <c r="J58" s="59" t="s">
        <v>210</v>
      </c>
    </row>
    <row r="59" spans="1:10" ht="18" customHeight="1" x14ac:dyDescent="0.25">
      <c r="A59" s="65"/>
      <c r="B59" s="65"/>
      <c r="C59" s="60"/>
      <c r="D59" s="61"/>
      <c r="E59" s="36" t="str">
        <f>IF(C59="","",C59*D59)</f>
        <v/>
      </c>
      <c r="F59" s="36" t="str">
        <f>IF(E59="","",E59*Assumptions!B17)</f>
        <v/>
      </c>
      <c r="G59" s="33" t="str">
        <f>IF(E59="","",E59+F59)</f>
        <v/>
      </c>
      <c r="H59" s="62"/>
      <c r="I59" s="33" t="str">
        <f>IF(G59="","",G59*H59)</f>
        <v/>
      </c>
      <c r="J59" s="65"/>
    </row>
    <row r="60" spans="1:10" ht="18" customHeight="1" x14ac:dyDescent="0.25">
      <c r="A60" s="65"/>
      <c r="B60" s="65"/>
      <c r="C60" s="60"/>
      <c r="D60" s="61"/>
      <c r="E60" s="36" t="str">
        <f>IF(C60="","",C60*D60)</f>
        <v/>
      </c>
      <c r="F60" s="36" t="str">
        <f>IF(E60="","",E60*Assumptions!B17)</f>
        <v/>
      </c>
      <c r="G60" s="33" t="str">
        <f>IF(E60="","",E60+F60)</f>
        <v/>
      </c>
      <c r="H60" s="62"/>
      <c r="I60" s="33" t="str">
        <f>IF(G60="","",G60*H60)</f>
        <v/>
      </c>
      <c r="J60" s="65"/>
    </row>
    <row r="61" spans="1:10" ht="18" customHeight="1" x14ac:dyDescent="0.25">
      <c r="A61" s="65"/>
      <c r="B61" s="65"/>
      <c r="C61" s="60"/>
      <c r="D61" s="61"/>
      <c r="E61" s="36" t="str">
        <f>IF(C61="","",C61*D61)</f>
        <v/>
      </c>
      <c r="F61" s="36" t="str">
        <f>IF(E61="","",E61*Assumptions!B17)</f>
        <v/>
      </c>
      <c r="G61" s="33" t="str">
        <f>IF(E61="","",E61+F61)</f>
        <v/>
      </c>
      <c r="H61" s="62"/>
      <c r="I61" s="33" t="str">
        <f>IF(G61="","",G61*H61)</f>
        <v/>
      </c>
      <c r="J61" s="65"/>
    </row>
    <row r="62" spans="1:10" ht="18" customHeight="1" x14ac:dyDescent="0.25">
      <c r="A62" s="65"/>
      <c r="B62" s="65"/>
      <c r="C62" s="60"/>
      <c r="D62" s="61"/>
      <c r="E62" s="36" t="str">
        <f>IF(C62="","",C62*D62)</f>
        <v/>
      </c>
      <c r="F62" s="36" t="str">
        <f>IF(E62="","",E62*Assumptions!B17)</f>
        <v/>
      </c>
      <c r="G62" s="33" t="str">
        <f>IF(E62="","",E62+F62)</f>
        <v/>
      </c>
      <c r="H62" s="62"/>
      <c r="I62" s="33" t="str">
        <f>IF(G62="","",G62*H62)</f>
        <v/>
      </c>
      <c r="J62" s="65"/>
    </row>
    <row r="63" spans="1:10" ht="18" customHeight="1" x14ac:dyDescent="0.25">
      <c r="A63" s="28" t="s">
        <v>375</v>
      </c>
      <c r="B63" s="30"/>
      <c r="C63" s="29">
        <f>SUM(C58:C62)</f>
        <v>0</v>
      </c>
      <c r="D63" s="30"/>
      <c r="E63" s="39">
        <f>SUM(E58:E62)</f>
        <v>0</v>
      </c>
      <c r="F63" s="39">
        <f>SUM(F58:F62)</f>
        <v>0</v>
      </c>
      <c r="G63" s="39">
        <f>SUM(G58:G62)</f>
        <v>0</v>
      </c>
      <c r="H63" s="30"/>
      <c r="I63" s="39">
        <f>SUM(I58:I62)</f>
        <v>0</v>
      </c>
      <c r="J63" s="30"/>
    </row>
    <row r="65" spans="1:10" ht="24" customHeight="1" x14ac:dyDescent="0.25">
      <c r="A65" s="9" t="s">
        <v>376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25">
      <c r="A66" s="12" t="s">
        <v>244</v>
      </c>
      <c r="B66" s="12" t="s">
        <v>377</v>
      </c>
      <c r="C66" s="12" t="s">
        <v>378</v>
      </c>
      <c r="D66" s="12" t="s">
        <v>247</v>
      </c>
      <c r="E66" s="12" t="s">
        <v>248</v>
      </c>
      <c r="F66" s="12" t="s">
        <v>239</v>
      </c>
      <c r="G66" s="12" t="s">
        <v>379</v>
      </c>
      <c r="H66" s="12" t="s">
        <v>380</v>
      </c>
      <c r="I66" s="12" t="s">
        <v>381</v>
      </c>
      <c r="J66" s="12" t="s">
        <v>276</v>
      </c>
    </row>
    <row r="67" spans="1:10" ht="18" customHeight="1" x14ac:dyDescent="0.25">
      <c r="A67" s="15" t="s">
        <v>252</v>
      </c>
      <c r="B67" s="36">
        <f>'Practice Allocations'!E10</f>
        <v>13886.880833333331</v>
      </c>
      <c r="C67" s="36">
        <f>B67*1</f>
        <v>13886.880833333331</v>
      </c>
      <c r="D67" s="61"/>
      <c r="E67" s="61"/>
      <c r="F67" s="36">
        <f t="shared" ref="F67:F78" si="6">D67+E67</f>
        <v>0</v>
      </c>
      <c r="G67" s="36">
        <f>F67</f>
        <v>0</v>
      </c>
      <c r="H67" s="33">
        <f t="shared" ref="H67:H78" si="7">C67-G67</f>
        <v>13886.880833333331</v>
      </c>
      <c r="I67" s="27">
        <f t="shared" ref="I67:I78" si="8">IF(C67&gt;0,G67/C67,0)</f>
        <v>0</v>
      </c>
      <c r="J67" s="13" t="str">
        <f t="shared" ref="J67:J78" si="9">IF(H67&lt;0,"OVERSPEND",IF(I67&gt;0.9,"HIGH","OK"))</f>
        <v>OK</v>
      </c>
    </row>
    <row r="68" spans="1:10" ht="18" customHeight="1" x14ac:dyDescent="0.25">
      <c r="A68" s="15" t="s">
        <v>253</v>
      </c>
      <c r="B68" s="36">
        <f>'Practice Allocations'!E10</f>
        <v>13886.880833333331</v>
      </c>
      <c r="C68" s="36">
        <f>B68*2</f>
        <v>27773.761666666662</v>
      </c>
      <c r="D68" s="61"/>
      <c r="E68" s="61"/>
      <c r="F68" s="36">
        <f t="shared" si="6"/>
        <v>0</v>
      </c>
      <c r="G68" s="36">
        <f t="shared" ref="G68:G78" si="10">G67+F68</f>
        <v>0</v>
      </c>
      <c r="H68" s="33">
        <f t="shared" si="7"/>
        <v>27773.761666666662</v>
      </c>
      <c r="I68" s="27">
        <f t="shared" si="8"/>
        <v>0</v>
      </c>
      <c r="J68" s="13" t="str">
        <f t="shared" si="9"/>
        <v>OK</v>
      </c>
    </row>
    <row r="69" spans="1:10" ht="18" customHeight="1" x14ac:dyDescent="0.25">
      <c r="A69" s="15" t="s">
        <v>254</v>
      </c>
      <c r="B69" s="36">
        <f>'Practice Allocations'!E10</f>
        <v>13886.880833333331</v>
      </c>
      <c r="C69" s="36">
        <f>B69*3</f>
        <v>41660.642499999994</v>
      </c>
      <c r="D69" s="61"/>
      <c r="E69" s="61"/>
      <c r="F69" s="36">
        <f t="shared" si="6"/>
        <v>0</v>
      </c>
      <c r="G69" s="36">
        <f t="shared" si="10"/>
        <v>0</v>
      </c>
      <c r="H69" s="33">
        <f t="shared" si="7"/>
        <v>41660.642499999994</v>
      </c>
      <c r="I69" s="27">
        <f t="shared" si="8"/>
        <v>0</v>
      </c>
      <c r="J69" s="13" t="str">
        <f t="shared" si="9"/>
        <v>OK</v>
      </c>
    </row>
    <row r="70" spans="1:10" ht="18" customHeight="1" x14ac:dyDescent="0.25">
      <c r="A70" s="15" t="s">
        <v>255</v>
      </c>
      <c r="B70" s="36">
        <f>'Practice Allocations'!E10</f>
        <v>13886.880833333331</v>
      </c>
      <c r="C70" s="36">
        <f>B70*4</f>
        <v>55547.523333333324</v>
      </c>
      <c r="D70" s="61"/>
      <c r="E70" s="61"/>
      <c r="F70" s="36">
        <f t="shared" si="6"/>
        <v>0</v>
      </c>
      <c r="G70" s="36">
        <f t="shared" si="10"/>
        <v>0</v>
      </c>
      <c r="H70" s="33">
        <f t="shared" si="7"/>
        <v>55547.523333333324</v>
      </c>
      <c r="I70" s="27">
        <f t="shared" si="8"/>
        <v>0</v>
      </c>
      <c r="J70" s="13" t="str">
        <f t="shared" si="9"/>
        <v>OK</v>
      </c>
    </row>
    <row r="71" spans="1:10" ht="18" customHeight="1" x14ac:dyDescent="0.25">
      <c r="A71" s="15" t="s">
        <v>256</v>
      </c>
      <c r="B71" s="36">
        <f>'Practice Allocations'!E10</f>
        <v>13886.880833333331</v>
      </c>
      <c r="C71" s="36">
        <f>B71*5</f>
        <v>69434.40416666666</v>
      </c>
      <c r="D71" s="61"/>
      <c r="E71" s="61"/>
      <c r="F71" s="36">
        <f t="shared" si="6"/>
        <v>0</v>
      </c>
      <c r="G71" s="36">
        <f t="shared" si="10"/>
        <v>0</v>
      </c>
      <c r="H71" s="33">
        <f t="shared" si="7"/>
        <v>69434.40416666666</v>
      </c>
      <c r="I71" s="27">
        <f t="shared" si="8"/>
        <v>0</v>
      </c>
      <c r="J71" s="13" t="str">
        <f t="shared" si="9"/>
        <v>OK</v>
      </c>
    </row>
    <row r="72" spans="1:10" ht="18" customHeight="1" x14ac:dyDescent="0.25">
      <c r="A72" s="15" t="s">
        <v>257</v>
      </c>
      <c r="B72" s="36">
        <f>'Practice Allocations'!E10</f>
        <v>13886.880833333331</v>
      </c>
      <c r="C72" s="36">
        <f>B72*6</f>
        <v>83321.284999999989</v>
      </c>
      <c r="D72" s="61"/>
      <c r="E72" s="61"/>
      <c r="F72" s="36">
        <f t="shared" si="6"/>
        <v>0</v>
      </c>
      <c r="G72" s="36">
        <f t="shared" si="10"/>
        <v>0</v>
      </c>
      <c r="H72" s="33">
        <f t="shared" si="7"/>
        <v>83321.284999999989</v>
      </c>
      <c r="I72" s="27">
        <f t="shared" si="8"/>
        <v>0</v>
      </c>
      <c r="J72" s="13" t="str">
        <f t="shared" si="9"/>
        <v>OK</v>
      </c>
    </row>
    <row r="73" spans="1:10" ht="18" customHeight="1" x14ac:dyDescent="0.25">
      <c r="A73" s="15" t="s">
        <v>258</v>
      </c>
      <c r="B73" s="36">
        <f>'Practice Allocations'!E10</f>
        <v>13886.880833333331</v>
      </c>
      <c r="C73" s="36">
        <f>B73*7</f>
        <v>97208.165833333318</v>
      </c>
      <c r="D73" s="61"/>
      <c r="E73" s="61"/>
      <c r="F73" s="36">
        <f t="shared" si="6"/>
        <v>0</v>
      </c>
      <c r="G73" s="36">
        <f t="shared" si="10"/>
        <v>0</v>
      </c>
      <c r="H73" s="33">
        <f t="shared" si="7"/>
        <v>97208.165833333318</v>
      </c>
      <c r="I73" s="27">
        <f t="shared" si="8"/>
        <v>0</v>
      </c>
      <c r="J73" s="13" t="str">
        <f t="shared" si="9"/>
        <v>OK</v>
      </c>
    </row>
    <row r="74" spans="1:10" ht="18" customHeight="1" x14ac:dyDescent="0.25">
      <c r="A74" s="15" t="s">
        <v>259</v>
      </c>
      <c r="B74" s="36">
        <f>'Practice Allocations'!E10</f>
        <v>13886.880833333331</v>
      </c>
      <c r="C74" s="36">
        <f>B74*8</f>
        <v>111095.04666666665</v>
      </c>
      <c r="D74" s="61"/>
      <c r="E74" s="61"/>
      <c r="F74" s="36">
        <f t="shared" si="6"/>
        <v>0</v>
      </c>
      <c r="G74" s="36">
        <f t="shared" si="10"/>
        <v>0</v>
      </c>
      <c r="H74" s="33">
        <f t="shared" si="7"/>
        <v>111095.04666666665</v>
      </c>
      <c r="I74" s="27">
        <f t="shared" si="8"/>
        <v>0</v>
      </c>
      <c r="J74" s="13" t="str">
        <f t="shared" si="9"/>
        <v>OK</v>
      </c>
    </row>
    <row r="75" spans="1:10" ht="18" customHeight="1" x14ac:dyDescent="0.25">
      <c r="A75" s="15" t="s">
        <v>260</v>
      </c>
      <c r="B75" s="36">
        <f>'Practice Allocations'!E10</f>
        <v>13886.880833333331</v>
      </c>
      <c r="C75" s="36">
        <f>B75*9</f>
        <v>124981.92749999998</v>
      </c>
      <c r="D75" s="61"/>
      <c r="E75" s="61"/>
      <c r="F75" s="36">
        <f t="shared" si="6"/>
        <v>0</v>
      </c>
      <c r="G75" s="36">
        <f t="shared" si="10"/>
        <v>0</v>
      </c>
      <c r="H75" s="33">
        <f t="shared" si="7"/>
        <v>124981.92749999998</v>
      </c>
      <c r="I75" s="27">
        <f t="shared" si="8"/>
        <v>0</v>
      </c>
      <c r="J75" s="13" t="str">
        <f t="shared" si="9"/>
        <v>OK</v>
      </c>
    </row>
    <row r="76" spans="1:10" ht="18" customHeight="1" x14ac:dyDescent="0.25">
      <c r="A76" s="15" t="s">
        <v>261</v>
      </c>
      <c r="B76" s="36">
        <f>'Practice Allocations'!E10</f>
        <v>13886.880833333331</v>
      </c>
      <c r="C76" s="36">
        <f>B76*10</f>
        <v>138868.80833333332</v>
      </c>
      <c r="D76" s="61"/>
      <c r="E76" s="61"/>
      <c r="F76" s="36">
        <f t="shared" si="6"/>
        <v>0</v>
      </c>
      <c r="G76" s="36">
        <f t="shared" si="10"/>
        <v>0</v>
      </c>
      <c r="H76" s="33">
        <f t="shared" si="7"/>
        <v>138868.80833333332</v>
      </c>
      <c r="I76" s="27">
        <f t="shared" si="8"/>
        <v>0</v>
      </c>
      <c r="J76" s="13" t="str">
        <f t="shared" si="9"/>
        <v>OK</v>
      </c>
    </row>
    <row r="77" spans="1:10" ht="18" customHeight="1" x14ac:dyDescent="0.25">
      <c r="A77" s="15" t="s">
        <v>262</v>
      </c>
      <c r="B77" s="36">
        <f>'Practice Allocations'!E10</f>
        <v>13886.880833333331</v>
      </c>
      <c r="C77" s="36">
        <f>B77*11</f>
        <v>152755.68916666665</v>
      </c>
      <c r="D77" s="61"/>
      <c r="E77" s="61"/>
      <c r="F77" s="36">
        <f t="shared" si="6"/>
        <v>0</v>
      </c>
      <c r="G77" s="36">
        <f t="shared" si="10"/>
        <v>0</v>
      </c>
      <c r="H77" s="33">
        <f t="shared" si="7"/>
        <v>152755.68916666665</v>
      </c>
      <c r="I77" s="27">
        <f t="shared" si="8"/>
        <v>0</v>
      </c>
      <c r="J77" s="13" t="str">
        <f t="shared" si="9"/>
        <v>OK</v>
      </c>
    </row>
    <row r="78" spans="1:10" ht="18" customHeight="1" x14ac:dyDescent="0.25">
      <c r="A78" s="15" t="s">
        <v>263</v>
      </c>
      <c r="B78" s="36">
        <f>'Practice Allocations'!E10</f>
        <v>13886.880833333331</v>
      </c>
      <c r="C78" s="36">
        <f>B78*12</f>
        <v>166642.56999999998</v>
      </c>
      <c r="D78" s="61"/>
      <c r="E78" s="61"/>
      <c r="F78" s="36">
        <f t="shared" si="6"/>
        <v>0</v>
      </c>
      <c r="G78" s="36">
        <f t="shared" si="10"/>
        <v>0</v>
      </c>
      <c r="H78" s="33">
        <f t="shared" si="7"/>
        <v>166642.56999999998</v>
      </c>
      <c r="I78" s="27">
        <f t="shared" si="8"/>
        <v>0</v>
      </c>
      <c r="J78" s="13" t="str">
        <f t="shared" si="9"/>
        <v>OK</v>
      </c>
    </row>
    <row r="79" spans="1:10" ht="18" customHeight="1" x14ac:dyDescent="0.25">
      <c r="A79" s="28" t="s">
        <v>382</v>
      </c>
      <c r="B79" s="39">
        <f>SUM(B67:B78)</f>
        <v>166642.56999999998</v>
      </c>
      <c r="C79" s="39">
        <f>C78</f>
        <v>166642.56999999998</v>
      </c>
      <c r="D79" s="39">
        <f>SUM(D67:D78)</f>
        <v>0</v>
      </c>
      <c r="E79" s="39">
        <f>SUM(E67:E78)</f>
        <v>0</v>
      </c>
      <c r="F79" s="39">
        <f>SUM(F67:F78)</f>
        <v>0</v>
      </c>
      <c r="G79" s="39">
        <f>G78</f>
        <v>0</v>
      </c>
      <c r="H79" s="39">
        <f>H78</f>
        <v>166642.56999999998</v>
      </c>
      <c r="I79" s="31">
        <f>I78</f>
        <v>0</v>
      </c>
      <c r="J79" s="30"/>
    </row>
    <row r="81" spans="1:10" ht="24" customHeight="1" x14ac:dyDescent="0.25">
      <c r="A81" s="9" t="s">
        <v>383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5">
      <c r="A82" s="13" t="s">
        <v>384</v>
      </c>
      <c r="B82" s="37">
        <f>F22</f>
        <v>5249.2725999999993</v>
      </c>
    </row>
    <row r="83" spans="1:10" ht="18" customHeight="1" x14ac:dyDescent="0.25">
      <c r="A83" s="13" t="s">
        <v>385</v>
      </c>
      <c r="B83" s="37">
        <f>F39</f>
        <v>0</v>
      </c>
    </row>
    <row r="84" spans="1:10" ht="18" customHeight="1" x14ac:dyDescent="0.25">
      <c r="A84" s="13" t="s">
        <v>386</v>
      </c>
      <c r="B84" s="58">
        <f>IF(B82&gt;0,B83/B82,0)</f>
        <v>0</v>
      </c>
    </row>
    <row r="85" spans="1:10" ht="18" customHeight="1" x14ac:dyDescent="0.25">
      <c r="A85" s="13" t="s">
        <v>387</v>
      </c>
      <c r="B85" s="37">
        <f>IF(COUNTA(F26:F38)&gt;0,AVERAGE(F26:F38),0)</f>
        <v>0</v>
      </c>
    </row>
    <row r="86" spans="1:10" ht="18" customHeight="1" x14ac:dyDescent="0.25">
      <c r="A86" s="13" t="s">
        <v>388</v>
      </c>
      <c r="B86" s="37">
        <f>C20</f>
        <v>96.200799999999987</v>
      </c>
    </row>
    <row r="87" spans="1:10" ht="18" customHeight="1" x14ac:dyDescent="0.25">
      <c r="A87" s="13" t="s">
        <v>389</v>
      </c>
      <c r="B87" s="37">
        <f>B85-B86</f>
        <v>-96.200799999999987</v>
      </c>
    </row>
    <row r="88" spans="1:10" ht="18" customHeight="1" x14ac:dyDescent="0.25">
      <c r="A88" s="13" t="s">
        <v>390</v>
      </c>
      <c r="B88" s="58">
        <f>IF(F39&gt;0,E39/F39,0)</f>
        <v>0</v>
      </c>
    </row>
    <row r="89" spans="1:10" ht="18" customHeight="1" x14ac:dyDescent="0.25">
      <c r="A89" s="13" t="s">
        <v>391</v>
      </c>
      <c r="B89" s="37" t="str">
        <f>IF(B90&gt;=0.5,"YES — Compliant","NO — Below 50%")</f>
        <v>YES — Compliant</v>
      </c>
    </row>
    <row r="90" spans="1:10" ht="18" customHeight="1" x14ac:dyDescent="0.25">
      <c r="A90" s="13" t="s">
        <v>392</v>
      </c>
      <c r="B90" s="33">
        <f>J54</f>
        <v>113854.39999999999</v>
      </c>
    </row>
    <row r="91" spans="1:10" ht="18" customHeight="1" x14ac:dyDescent="0.25">
      <c r="A91" s="13" t="s">
        <v>393</v>
      </c>
      <c r="B91" s="33">
        <f>I63</f>
        <v>0</v>
      </c>
    </row>
    <row r="92" spans="1:10" ht="18" customHeight="1" x14ac:dyDescent="0.25">
      <c r="A92" s="13" t="s">
        <v>394</v>
      </c>
      <c r="B92" s="33">
        <f>B90+B91</f>
        <v>113854.39999999999</v>
      </c>
    </row>
    <row r="93" spans="1:10" ht="18" customHeight="1" x14ac:dyDescent="0.25">
      <c r="A93" s="13" t="s">
        <v>395</v>
      </c>
      <c r="B93" s="33">
        <f>'Practice Allocations'!D10-B94</f>
        <v>166642.56999999998</v>
      </c>
    </row>
    <row r="95" spans="1:10" ht="24" customHeight="1" x14ac:dyDescent="0.25">
      <c r="A95" s="9" t="s">
        <v>396</v>
      </c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25">
      <c r="A96" s="12" t="s">
        <v>397</v>
      </c>
      <c r="B96" s="12" t="s">
        <v>207</v>
      </c>
      <c r="C96" s="12" t="s">
        <v>398</v>
      </c>
      <c r="D96" s="12" t="s">
        <v>399</v>
      </c>
      <c r="E96" s="12" t="s">
        <v>400</v>
      </c>
      <c r="F96" s="12" t="s">
        <v>204</v>
      </c>
      <c r="G96" s="12" t="s">
        <v>401</v>
      </c>
      <c r="H96" s="12"/>
      <c r="I96" s="12"/>
      <c r="J96" s="12"/>
    </row>
    <row r="97" spans="1:10" ht="18" customHeight="1" x14ac:dyDescent="0.25">
      <c r="A97" s="82" t="s">
        <v>424</v>
      </c>
      <c r="B97" s="19" t="s">
        <v>425</v>
      </c>
      <c r="C97" s="82" t="s">
        <v>426</v>
      </c>
      <c r="D97" s="83"/>
      <c r="E97" s="65"/>
      <c r="F97" s="59" t="s">
        <v>427</v>
      </c>
      <c r="G97" s="65"/>
      <c r="H97" s="15"/>
      <c r="I97" s="15"/>
      <c r="J97" s="15"/>
    </row>
    <row r="98" spans="1:10" ht="18" customHeight="1" x14ac:dyDescent="0.25">
      <c r="A98" s="65"/>
      <c r="B98" s="65"/>
      <c r="C98" s="65"/>
      <c r="D98" s="61"/>
      <c r="E98" s="65"/>
      <c r="F98" s="65"/>
      <c r="G98" s="65"/>
      <c r="H98" s="55"/>
      <c r="I98" s="55"/>
      <c r="J98" s="55"/>
    </row>
    <row r="99" spans="1:10" ht="18" customHeight="1" x14ac:dyDescent="0.25">
      <c r="A99" s="65"/>
      <c r="B99" s="65"/>
      <c r="C99" s="65"/>
      <c r="D99" s="61"/>
      <c r="E99" s="65"/>
      <c r="F99" s="65"/>
      <c r="G99" s="65"/>
      <c r="H99" s="15"/>
      <c r="I99" s="15"/>
      <c r="J99" s="15"/>
    </row>
    <row r="100" spans="1:10" ht="18" customHeight="1" x14ac:dyDescent="0.25">
      <c r="A100" s="65"/>
      <c r="B100" s="65"/>
      <c r="C100" s="65"/>
      <c r="D100" s="61"/>
      <c r="E100" s="65"/>
      <c r="F100" s="65"/>
      <c r="G100" s="65"/>
      <c r="H100" s="55"/>
      <c r="I100" s="55"/>
      <c r="J100" s="55"/>
    </row>
    <row r="101" spans="1:10" ht="18" customHeight="1" x14ac:dyDescent="0.25">
      <c r="A101" s="65"/>
      <c r="B101" s="65"/>
      <c r="C101" s="65"/>
      <c r="D101" s="61"/>
      <c r="E101" s="65"/>
      <c r="F101" s="65"/>
      <c r="G101" s="65"/>
      <c r="H101" s="15"/>
      <c r="I101" s="15"/>
      <c r="J101" s="15"/>
    </row>
    <row r="103" spans="1:10" ht="24" customHeight="1" x14ac:dyDescent="0.25">
      <c r="A103" s="9" t="s">
        <v>402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25">
      <c r="A104" s="12" t="s">
        <v>335</v>
      </c>
      <c r="B104" s="12" t="s">
        <v>403</v>
      </c>
      <c r="C104" s="12" t="s">
        <v>404</v>
      </c>
      <c r="D104" s="12" t="s">
        <v>204</v>
      </c>
      <c r="E104" s="12" t="s">
        <v>405</v>
      </c>
      <c r="F104" s="12"/>
      <c r="G104" s="12"/>
      <c r="H104" s="12"/>
      <c r="I104" s="12"/>
      <c r="J104" s="12"/>
    </row>
    <row r="105" spans="1:10" ht="18" customHeight="1" x14ac:dyDescent="0.25">
      <c r="A105" s="81" t="s">
        <v>410</v>
      </c>
      <c r="B105" s="19" t="s">
        <v>428</v>
      </c>
      <c r="C105" s="82" t="s">
        <v>429</v>
      </c>
      <c r="D105" s="59" t="s">
        <v>430</v>
      </c>
      <c r="E105" s="81"/>
      <c r="F105" s="15"/>
      <c r="G105" s="15"/>
      <c r="H105" s="15"/>
      <c r="I105" s="15"/>
      <c r="J105" s="15"/>
    </row>
    <row r="106" spans="1:10" ht="18" customHeight="1" x14ac:dyDescent="0.25">
      <c r="A106" s="81" t="s">
        <v>410</v>
      </c>
      <c r="B106" s="82" t="s">
        <v>431</v>
      </c>
      <c r="C106" s="82" t="s">
        <v>429</v>
      </c>
      <c r="D106" s="59" t="s">
        <v>415</v>
      </c>
      <c r="E106" s="79"/>
      <c r="F106" s="55"/>
      <c r="G106" s="55"/>
      <c r="H106" s="55"/>
      <c r="I106" s="55"/>
      <c r="J106" s="55"/>
    </row>
    <row r="107" spans="1:10" ht="18" customHeight="1" x14ac:dyDescent="0.25">
      <c r="A107" s="81" t="s">
        <v>410</v>
      </c>
      <c r="B107" s="82" t="s">
        <v>432</v>
      </c>
      <c r="C107" s="82" t="s">
        <v>412</v>
      </c>
      <c r="D107" s="59" t="s">
        <v>415</v>
      </c>
      <c r="E107" s="79"/>
      <c r="F107" s="15"/>
      <c r="G107" s="15"/>
      <c r="H107" s="15"/>
      <c r="I107" s="15"/>
      <c r="J107" s="15"/>
    </row>
    <row r="108" spans="1:10" ht="18" customHeight="1" x14ac:dyDescent="0.25">
      <c r="A108" s="79"/>
      <c r="B108" s="65"/>
      <c r="C108" s="65"/>
      <c r="D108" s="65"/>
      <c r="E108" s="79"/>
      <c r="F108" s="55"/>
      <c r="G108" s="55"/>
      <c r="H108" s="55"/>
      <c r="I108" s="55"/>
      <c r="J108" s="55"/>
    </row>
    <row r="109" spans="1:10" ht="18" customHeight="1" x14ac:dyDescent="0.25">
      <c r="A109" s="79"/>
      <c r="B109" s="65"/>
      <c r="C109" s="65"/>
      <c r="D109" s="65"/>
      <c r="E109" s="79"/>
      <c r="F109" s="15"/>
      <c r="G109" s="15"/>
      <c r="H109" s="15"/>
      <c r="I109" s="15"/>
      <c r="J109" s="15"/>
    </row>
    <row r="110" spans="1:10" ht="18" customHeight="1" x14ac:dyDescent="0.25">
      <c r="A110" s="79"/>
      <c r="B110" s="65"/>
      <c r="C110" s="65"/>
      <c r="D110" s="65"/>
      <c r="E110" s="79"/>
      <c r="F110" s="55"/>
      <c r="G110" s="55"/>
      <c r="H110" s="55"/>
      <c r="I110" s="55"/>
      <c r="J110" s="55"/>
    </row>
    <row r="111" spans="1:10" ht="18" customHeight="1" x14ac:dyDescent="0.25">
      <c r="A111" s="79"/>
      <c r="B111" s="65"/>
      <c r="C111" s="65"/>
      <c r="D111" s="65"/>
      <c r="E111" s="79"/>
      <c r="F111" s="15"/>
      <c r="G111" s="15"/>
      <c r="H111" s="15"/>
      <c r="I111" s="15"/>
      <c r="J111" s="15"/>
    </row>
    <row r="112" spans="1:10" ht="18" customHeight="1" x14ac:dyDescent="0.25">
      <c r="A112" s="79"/>
      <c r="B112" s="65"/>
      <c r="C112" s="65"/>
      <c r="D112" s="65"/>
      <c r="E112" s="79"/>
      <c r="F112" s="55"/>
      <c r="G112" s="55"/>
      <c r="H112" s="55"/>
      <c r="I112" s="55"/>
      <c r="J112" s="55"/>
    </row>
    <row r="113" spans="1:10" ht="18" customHeight="1" x14ac:dyDescent="0.25">
      <c r="A113" s="79"/>
      <c r="B113" s="65"/>
      <c r="C113" s="65"/>
      <c r="D113" s="65"/>
      <c r="E113" s="79"/>
      <c r="F113" s="15"/>
      <c r="G113" s="15"/>
      <c r="H113" s="15"/>
      <c r="I113" s="15"/>
      <c r="J113" s="15"/>
    </row>
    <row r="114" spans="1:10" ht="18" customHeight="1" x14ac:dyDescent="0.25">
      <c r="A114" s="79"/>
      <c r="B114" s="65"/>
      <c r="C114" s="65"/>
      <c r="D114" s="65"/>
      <c r="E114" s="79"/>
      <c r="F114" s="55"/>
      <c r="G114" s="55"/>
      <c r="H114" s="55"/>
      <c r="I114" s="55"/>
      <c r="J114" s="55"/>
    </row>
  </sheetData>
  <mergeCells count="12">
    <mergeCell ref="A95:J95"/>
    <mergeCell ref="A103:J103"/>
    <mergeCell ref="A24:J24"/>
    <mergeCell ref="A42:J42"/>
    <mergeCell ref="A56:J56"/>
    <mergeCell ref="A65:J65"/>
    <mergeCell ref="A81:J81"/>
    <mergeCell ref="A1:J1"/>
    <mergeCell ref="A2:J2"/>
    <mergeCell ref="A4:J4"/>
    <mergeCell ref="A11:J11"/>
    <mergeCell ref="A18:J18"/>
  </mergeCells>
  <dataValidations count="4">
    <dataValidation type="list" allowBlank="1" sqref="C44:C53" xr:uid="{00000000-0002-0000-1100-000000000000}">
      <formula1>"New SDA,Buy-Back,Existing (Buy-Back Pending)"</formula1>
      <formula2>0</formula2>
    </dataValidation>
    <dataValidation type="list" allowBlank="1" sqref="J58:J62" xr:uid="{00000000-0002-0000-1100-000001000000}">
      <formula1>"Draft,Submitted,Under Review,Approved,Rejected"</formula1>
      <formula2>0</formula2>
    </dataValidation>
    <dataValidation type="list" allowBlank="1" sqref="F97:F101" xr:uid="{00000000-0002-0000-1100-000002000000}">
      <formula1>"Planned,Recruiting,In Post,Delayed,Not Started"</formula1>
      <formula2>0</formula2>
    </dataValidation>
    <dataValidation type="list" allowBlank="1" sqref="D105:D114" xr:uid="{00000000-0002-0000-1100-000003000000}">
      <formula1>"Open,In Progress,Complete,On Hold"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74C3C"/>
  </sheetPr>
  <dimension ref="A1:L7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5" x14ac:dyDescent="0.25"/>
  <cols>
    <col min="1" max="1" width="24" customWidth="1"/>
    <col min="2" max="12" width="16" customWidth="1"/>
  </cols>
  <sheetData>
    <row r="1" spans="1:12" ht="27.75" customHeight="1" x14ac:dyDescent="0.25">
      <c r="A1" s="11" t="s">
        <v>433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4" t="s">
        <v>434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0" customHeight="1" x14ac:dyDescent="0.25">
      <c r="A3" s="12" t="s">
        <v>272</v>
      </c>
      <c r="B3" s="12" t="s">
        <v>273</v>
      </c>
      <c r="C3" s="12" t="s">
        <v>435</v>
      </c>
      <c r="D3" s="12" t="s">
        <v>436</v>
      </c>
      <c r="E3" s="12" t="s">
        <v>437</v>
      </c>
      <c r="F3" s="12" t="s">
        <v>438</v>
      </c>
      <c r="G3" s="12" t="s">
        <v>439</v>
      </c>
      <c r="H3" s="12" t="s">
        <v>440</v>
      </c>
      <c r="I3" s="12" t="s">
        <v>441</v>
      </c>
      <c r="J3" s="12" t="s">
        <v>442</v>
      </c>
      <c r="K3" s="12" t="s">
        <v>443</v>
      </c>
      <c r="L3" s="12" t="s">
        <v>444</v>
      </c>
    </row>
    <row r="4" spans="1:12" x14ac:dyDescent="0.25">
      <c r="A4" s="26">
        <v>1</v>
      </c>
      <c r="B4" s="63" t="s">
        <v>277</v>
      </c>
      <c r="C4" s="60"/>
      <c r="D4" s="60"/>
      <c r="E4" s="60"/>
      <c r="F4" s="60"/>
      <c r="G4" s="60"/>
      <c r="H4" s="60"/>
      <c r="I4" s="60"/>
      <c r="J4" s="57">
        <f t="shared" ref="J4:J35" si="0">SUM(C4:I4)</f>
        <v>0</v>
      </c>
      <c r="K4" s="26">
        <f>'Compliance Tracker'!J4</f>
        <v>0</v>
      </c>
      <c r="L4" s="58">
        <f t="shared" ref="L4:L35" si="1">IF(K4&gt;0,J4/K4,0)</f>
        <v>0</v>
      </c>
    </row>
    <row r="5" spans="1:12" x14ac:dyDescent="0.25">
      <c r="A5" s="26">
        <v>2</v>
      </c>
      <c r="B5" s="63" t="s">
        <v>277</v>
      </c>
      <c r="C5" s="60"/>
      <c r="D5" s="60"/>
      <c r="E5" s="60"/>
      <c r="F5" s="60"/>
      <c r="G5" s="60"/>
      <c r="H5" s="60"/>
      <c r="I5" s="60"/>
      <c r="J5" s="57">
        <f t="shared" si="0"/>
        <v>0</v>
      </c>
      <c r="K5" s="26">
        <f>'Compliance Tracker'!J5</f>
        <v>0</v>
      </c>
      <c r="L5" s="58">
        <f t="shared" si="1"/>
        <v>0</v>
      </c>
    </row>
    <row r="6" spans="1:12" x14ac:dyDescent="0.25">
      <c r="A6" s="26">
        <v>3</v>
      </c>
      <c r="B6" s="63" t="s">
        <v>277</v>
      </c>
      <c r="C6" s="60"/>
      <c r="D6" s="60"/>
      <c r="E6" s="60"/>
      <c r="F6" s="60"/>
      <c r="G6" s="60"/>
      <c r="H6" s="60"/>
      <c r="I6" s="60"/>
      <c r="J6" s="57">
        <f t="shared" si="0"/>
        <v>0</v>
      </c>
      <c r="K6" s="26">
        <f>'Compliance Tracker'!J6</f>
        <v>0</v>
      </c>
      <c r="L6" s="58">
        <f t="shared" si="1"/>
        <v>0</v>
      </c>
    </row>
    <row r="7" spans="1:12" x14ac:dyDescent="0.25">
      <c r="A7" s="26">
        <v>4</v>
      </c>
      <c r="B7" s="63" t="s">
        <v>277</v>
      </c>
      <c r="C7" s="60"/>
      <c r="D7" s="60"/>
      <c r="E7" s="60"/>
      <c r="F7" s="60"/>
      <c r="G7" s="60"/>
      <c r="H7" s="60"/>
      <c r="I7" s="60"/>
      <c r="J7" s="57">
        <f t="shared" si="0"/>
        <v>0</v>
      </c>
      <c r="K7" s="26">
        <f>'Compliance Tracker'!J7</f>
        <v>0</v>
      </c>
      <c r="L7" s="58">
        <f t="shared" si="1"/>
        <v>0</v>
      </c>
    </row>
    <row r="8" spans="1:12" x14ac:dyDescent="0.25">
      <c r="A8" s="26">
        <v>5</v>
      </c>
      <c r="B8" s="63" t="s">
        <v>277</v>
      </c>
      <c r="C8" s="60"/>
      <c r="D8" s="60"/>
      <c r="E8" s="60"/>
      <c r="F8" s="60"/>
      <c r="G8" s="60"/>
      <c r="H8" s="60"/>
      <c r="I8" s="60"/>
      <c r="J8" s="57">
        <f t="shared" si="0"/>
        <v>0</v>
      </c>
      <c r="K8" s="26">
        <f>'Compliance Tracker'!J8</f>
        <v>0</v>
      </c>
      <c r="L8" s="58">
        <f t="shared" si="1"/>
        <v>0</v>
      </c>
    </row>
    <row r="9" spans="1:12" x14ac:dyDescent="0.25">
      <c r="A9" s="26">
        <v>6</v>
      </c>
      <c r="B9" s="63" t="s">
        <v>277</v>
      </c>
      <c r="C9" s="60"/>
      <c r="D9" s="60"/>
      <c r="E9" s="60"/>
      <c r="F9" s="60"/>
      <c r="G9" s="60"/>
      <c r="H9" s="60"/>
      <c r="I9" s="60"/>
      <c r="J9" s="57">
        <f t="shared" si="0"/>
        <v>0</v>
      </c>
      <c r="K9" s="26">
        <f>'Compliance Tracker'!J9</f>
        <v>0</v>
      </c>
      <c r="L9" s="58">
        <f t="shared" si="1"/>
        <v>0</v>
      </c>
    </row>
    <row r="10" spans="1:12" x14ac:dyDescent="0.25">
      <c r="A10" s="26">
        <v>7</v>
      </c>
      <c r="B10" s="63" t="s">
        <v>277</v>
      </c>
      <c r="C10" s="60"/>
      <c r="D10" s="60"/>
      <c r="E10" s="60"/>
      <c r="F10" s="60"/>
      <c r="G10" s="60"/>
      <c r="H10" s="60"/>
      <c r="I10" s="60"/>
      <c r="J10" s="57">
        <f t="shared" si="0"/>
        <v>0</v>
      </c>
      <c r="K10" s="26">
        <f>'Compliance Tracker'!J10</f>
        <v>0</v>
      </c>
      <c r="L10" s="58">
        <f t="shared" si="1"/>
        <v>0</v>
      </c>
    </row>
    <row r="11" spans="1:12" x14ac:dyDescent="0.25">
      <c r="A11" s="26">
        <v>8</v>
      </c>
      <c r="B11" s="63" t="s">
        <v>277</v>
      </c>
      <c r="C11" s="60"/>
      <c r="D11" s="60"/>
      <c r="E11" s="60"/>
      <c r="F11" s="60"/>
      <c r="G11" s="60"/>
      <c r="H11" s="60"/>
      <c r="I11" s="60"/>
      <c r="J11" s="57">
        <f t="shared" si="0"/>
        <v>0</v>
      </c>
      <c r="K11" s="26">
        <f>'Compliance Tracker'!J11</f>
        <v>0</v>
      </c>
      <c r="L11" s="58">
        <f t="shared" si="1"/>
        <v>0</v>
      </c>
    </row>
    <row r="12" spans="1:12" x14ac:dyDescent="0.25">
      <c r="A12" s="26">
        <v>9</v>
      </c>
      <c r="B12" s="63" t="s">
        <v>277</v>
      </c>
      <c r="C12" s="60"/>
      <c r="D12" s="60"/>
      <c r="E12" s="60"/>
      <c r="F12" s="60"/>
      <c r="G12" s="60"/>
      <c r="H12" s="60"/>
      <c r="I12" s="60"/>
      <c r="J12" s="57">
        <f t="shared" si="0"/>
        <v>0</v>
      </c>
      <c r="K12" s="26">
        <f>'Compliance Tracker'!J12</f>
        <v>0</v>
      </c>
      <c r="L12" s="58">
        <f t="shared" si="1"/>
        <v>0</v>
      </c>
    </row>
    <row r="13" spans="1:12" x14ac:dyDescent="0.25">
      <c r="A13" s="26">
        <v>10</v>
      </c>
      <c r="B13" s="63" t="s">
        <v>277</v>
      </c>
      <c r="C13" s="60"/>
      <c r="D13" s="60"/>
      <c r="E13" s="60"/>
      <c r="F13" s="60"/>
      <c r="G13" s="60"/>
      <c r="H13" s="60"/>
      <c r="I13" s="60"/>
      <c r="J13" s="57">
        <f t="shared" si="0"/>
        <v>0</v>
      </c>
      <c r="K13" s="26">
        <f>'Compliance Tracker'!J13</f>
        <v>0</v>
      </c>
      <c r="L13" s="58">
        <f t="shared" si="1"/>
        <v>0</v>
      </c>
    </row>
    <row r="14" spans="1:12" x14ac:dyDescent="0.25">
      <c r="A14" s="26">
        <v>11</v>
      </c>
      <c r="B14" s="63" t="s">
        <v>277</v>
      </c>
      <c r="C14" s="60"/>
      <c r="D14" s="60"/>
      <c r="E14" s="60"/>
      <c r="F14" s="60"/>
      <c r="G14" s="60"/>
      <c r="H14" s="60"/>
      <c r="I14" s="60"/>
      <c r="J14" s="57">
        <f t="shared" si="0"/>
        <v>0</v>
      </c>
      <c r="K14" s="26">
        <f>'Compliance Tracker'!J14</f>
        <v>0</v>
      </c>
      <c r="L14" s="58">
        <f t="shared" si="1"/>
        <v>0</v>
      </c>
    </row>
    <row r="15" spans="1:12" x14ac:dyDescent="0.25">
      <c r="A15" s="26">
        <v>12</v>
      </c>
      <c r="B15" s="63" t="s">
        <v>277</v>
      </c>
      <c r="C15" s="60"/>
      <c r="D15" s="60"/>
      <c r="E15" s="60"/>
      <c r="F15" s="60"/>
      <c r="G15" s="60"/>
      <c r="H15" s="60"/>
      <c r="I15" s="60"/>
      <c r="J15" s="57">
        <f t="shared" si="0"/>
        <v>0</v>
      </c>
      <c r="K15" s="26">
        <f>'Compliance Tracker'!J15</f>
        <v>0</v>
      </c>
      <c r="L15" s="58">
        <f t="shared" si="1"/>
        <v>0</v>
      </c>
    </row>
    <row r="16" spans="1:12" x14ac:dyDescent="0.25">
      <c r="A16" s="26">
        <v>13</v>
      </c>
      <c r="B16" s="64" t="s">
        <v>169</v>
      </c>
      <c r="C16" s="60"/>
      <c r="D16" s="60"/>
      <c r="E16" s="60"/>
      <c r="F16" s="60"/>
      <c r="G16" s="60"/>
      <c r="H16" s="60"/>
      <c r="I16" s="60"/>
      <c r="J16" s="57">
        <f t="shared" si="0"/>
        <v>0</v>
      </c>
      <c r="K16" s="26">
        <f>'Compliance Tracker'!J16</f>
        <v>0</v>
      </c>
      <c r="L16" s="58">
        <f t="shared" si="1"/>
        <v>0</v>
      </c>
    </row>
    <row r="17" spans="1:12" x14ac:dyDescent="0.25">
      <c r="A17" s="26">
        <v>14</v>
      </c>
      <c r="B17" s="64" t="s">
        <v>169</v>
      </c>
      <c r="C17" s="60"/>
      <c r="D17" s="60"/>
      <c r="E17" s="60"/>
      <c r="F17" s="60"/>
      <c r="G17" s="60"/>
      <c r="H17" s="60"/>
      <c r="I17" s="60"/>
      <c r="J17" s="57">
        <f t="shared" si="0"/>
        <v>0</v>
      </c>
      <c r="K17" s="26">
        <f>'Compliance Tracker'!J17</f>
        <v>0</v>
      </c>
      <c r="L17" s="58">
        <f t="shared" si="1"/>
        <v>0</v>
      </c>
    </row>
    <row r="18" spans="1:12" x14ac:dyDescent="0.25">
      <c r="A18" s="26">
        <v>15</v>
      </c>
      <c r="B18" s="64" t="s">
        <v>169</v>
      </c>
      <c r="C18" s="60"/>
      <c r="D18" s="60"/>
      <c r="E18" s="60"/>
      <c r="F18" s="60"/>
      <c r="G18" s="60"/>
      <c r="H18" s="60"/>
      <c r="I18" s="60"/>
      <c r="J18" s="57">
        <f t="shared" si="0"/>
        <v>0</v>
      </c>
      <c r="K18" s="26">
        <f>'Compliance Tracker'!J18</f>
        <v>0</v>
      </c>
      <c r="L18" s="58">
        <f t="shared" si="1"/>
        <v>0</v>
      </c>
    </row>
    <row r="19" spans="1:12" x14ac:dyDescent="0.25">
      <c r="A19" s="26">
        <v>16</v>
      </c>
      <c r="B19" s="64" t="s">
        <v>169</v>
      </c>
      <c r="C19" s="60"/>
      <c r="D19" s="60"/>
      <c r="E19" s="60"/>
      <c r="F19" s="60"/>
      <c r="G19" s="60"/>
      <c r="H19" s="60"/>
      <c r="I19" s="60"/>
      <c r="J19" s="57">
        <f t="shared" si="0"/>
        <v>0</v>
      </c>
      <c r="K19" s="26">
        <f>'Compliance Tracker'!J19</f>
        <v>0</v>
      </c>
      <c r="L19" s="58">
        <f t="shared" si="1"/>
        <v>0</v>
      </c>
    </row>
    <row r="20" spans="1:12" x14ac:dyDescent="0.25">
      <c r="A20" s="26">
        <v>17</v>
      </c>
      <c r="B20" s="64" t="s">
        <v>169</v>
      </c>
      <c r="C20" s="60"/>
      <c r="D20" s="60"/>
      <c r="E20" s="60"/>
      <c r="F20" s="60"/>
      <c r="G20" s="60"/>
      <c r="H20" s="60"/>
      <c r="I20" s="60"/>
      <c r="J20" s="57">
        <f t="shared" si="0"/>
        <v>0</v>
      </c>
      <c r="K20" s="26">
        <f>'Compliance Tracker'!J20</f>
        <v>0</v>
      </c>
      <c r="L20" s="58">
        <f t="shared" si="1"/>
        <v>0</v>
      </c>
    </row>
    <row r="21" spans="1:12" x14ac:dyDescent="0.25">
      <c r="A21" s="26">
        <v>18</v>
      </c>
      <c r="B21" s="64" t="s">
        <v>169</v>
      </c>
      <c r="C21" s="60"/>
      <c r="D21" s="60"/>
      <c r="E21" s="60"/>
      <c r="F21" s="60"/>
      <c r="G21" s="60"/>
      <c r="H21" s="60"/>
      <c r="I21" s="60"/>
      <c r="J21" s="57">
        <f t="shared" si="0"/>
        <v>0</v>
      </c>
      <c r="K21" s="26">
        <f>'Compliance Tracker'!J21</f>
        <v>0</v>
      </c>
      <c r="L21" s="58">
        <f t="shared" si="1"/>
        <v>0</v>
      </c>
    </row>
    <row r="22" spans="1:12" x14ac:dyDescent="0.25">
      <c r="A22" s="26">
        <v>19</v>
      </c>
      <c r="B22" s="64" t="s">
        <v>169</v>
      </c>
      <c r="C22" s="60"/>
      <c r="D22" s="60"/>
      <c r="E22" s="60"/>
      <c r="F22" s="60"/>
      <c r="G22" s="60"/>
      <c r="H22" s="60"/>
      <c r="I22" s="60"/>
      <c r="J22" s="57">
        <f t="shared" si="0"/>
        <v>0</v>
      </c>
      <c r="K22" s="26">
        <f>'Compliance Tracker'!J22</f>
        <v>0</v>
      </c>
      <c r="L22" s="58">
        <f t="shared" si="1"/>
        <v>0</v>
      </c>
    </row>
    <row r="23" spans="1:12" x14ac:dyDescent="0.25">
      <c r="A23" s="26">
        <v>20</v>
      </c>
      <c r="B23" s="64" t="s">
        <v>169</v>
      </c>
      <c r="C23" s="60"/>
      <c r="D23" s="60"/>
      <c r="E23" s="60"/>
      <c r="F23" s="60"/>
      <c r="G23" s="60"/>
      <c r="H23" s="60"/>
      <c r="I23" s="60"/>
      <c r="J23" s="57">
        <f t="shared" si="0"/>
        <v>0</v>
      </c>
      <c r="K23" s="26">
        <f>'Compliance Tracker'!J23</f>
        <v>0</v>
      </c>
      <c r="L23" s="58">
        <f t="shared" si="1"/>
        <v>0</v>
      </c>
    </row>
    <row r="24" spans="1:12" x14ac:dyDescent="0.25">
      <c r="A24" s="26">
        <v>21</v>
      </c>
      <c r="B24" s="64" t="s">
        <v>169</v>
      </c>
      <c r="C24" s="60"/>
      <c r="D24" s="60"/>
      <c r="E24" s="60"/>
      <c r="F24" s="60"/>
      <c r="G24" s="60"/>
      <c r="H24" s="60"/>
      <c r="I24" s="60"/>
      <c r="J24" s="57">
        <f t="shared" si="0"/>
        <v>0</v>
      </c>
      <c r="K24" s="26">
        <f>'Compliance Tracker'!J24</f>
        <v>0</v>
      </c>
      <c r="L24" s="58">
        <f t="shared" si="1"/>
        <v>0</v>
      </c>
    </row>
    <row r="25" spans="1:12" x14ac:dyDescent="0.25">
      <c r="A25" s="26">
        <v>22</v>
      </c>
      <c r="B25" s="64" t="s">
        <v>169</v>
      </c>
      <c r="C25" s="60"/>
      <c r="D25" s="60"/>
      <c r="E25" s="60"/>
      <c r="F25" s="60"/>
      <c r="G25" s="60"/>
      <c r="H25" s="60"/>
      <c r="I25" s="60"/>
      <c r="J25" s="57">
        <f t="shared" si="0"/>
        <v>0</v>
      </c>
      <c r="K25" s="26">
        <f>'Compliance Tracker'!J25</f>
        <v>0</v>
      </c>
      <c r="L25" s="58">
        <f t="shared" si="1"/>
        <v>0</v>
      </c>
    </row>
    <row r="26" spans="1:12" x14ac:dyDescent="0.25">
      <c r="A26" s="26">
        <v>23</v>
      </c>
      <c r="B26" s="64" t="s">
        <v>169</v>
      </c>
      <c r="C26" s="60"/>
      <c r="D26" s="60"/>
      <c r="E26" s="60"/>
      <c r="F26" s="60"/>
      <c r="G26" s="60"/>
      <c r="H26" s="60"/>
      <c r="I26" s="60"/>
      <c r="J26" s="57">
        <f t="shared" si="0"/>
        <v>0</v>
      </c>
      <c r="K26" s="26">
        <f>'Compliance Tracker'!J26</f>
        <v>0</v>
      </c>
      <c r="L26" s="58">
        <f t="shared" si="1"/>
        <v>0</v>
      </c>
    </row>
    <row r="27" spans="1:12" x14ac:dyDescent="0.25">
      <c r="A27" s="26">
        <v>24</v>
      </c>
      <c r="B27" s="64" t="s">
        <v>169</v>
      </c>
      <c r="C27" s="60"/>
      <c r="D27" s="60"/>
      <c r="E27" s="60"/>
      <c r="F27" s="60"/>
      <c r="G27" s="60"/>
      <c r="H27" s="60"/>
      <c r="I27" s="60"/>
      <c r="J27" s="57">
        <f t="shared" si="0"/>
        <v>0</v>
      </c>
      <c r="K27" s="26">
        <f>'Compliance Tracker'!J27</f>
        <v>0</v>
      </c>
      <c r="L27" s="58">
        <f t="shared" si="1"/>
        <v>0</v>
      </c>
    </row>
    <row r="28" spans="1:12" x14ac:dyDescent="0.25">
      <c r="A28" s="26">
        <v>25</v>
      </c>
      <c r="B28" s="64" t="s">
        <v>169</v>
      </c>
      <c r="C28" s="60"/>
      <c r="D28" s="60"/>
      <c r="E28" s="60"/>
      <c r="F28" s="60"/>
      <c r="G28" s="60"/>
      <c r="H28" s="60"/>
      <c r="I28" s="60"/>
      <c r="J28" s="57">
        <f t="shared" si="0"/>
        <v>0</v>
      </c>
      <c r="K28" s="26">
        <f>'Compliance Tracker'!J28</f>
        <v>0</v>
      </c>
      <c r="L28" s="58">
        <f t="shared" si="1"/>
        <v>0</v>
      </c>
    </row>
    <row r="29" spans="1:12" x14ac:dyDescent="0.25">
      <c r="A29" s="26">
        <v>26</v>
      </c>
      <c r="B29" s="64" t="s">
        <v>169</v>
      </c>
      <c r="C29" s="60"/>
      <c r="D29" s="60"/>
      <c r="E29" s="60"/>
      <c r="F29" s="60"/>
      <c r="G29" s="60"/>
      <c r="H29" s="60"/>
      <c r="I29" s="60"/>
      <c r="J29" s="57">
        <f t="shared" si="0"/>
        <v>0</v>
      </c>
      <c r="K29" s="26">
        <f>'Compliance Tracker'!J29</f>
        <v>0</v>
      </c>
      <c r="L29" s="58">
        <f t="shared" si="1"/>
        <v>0</v>
      </c>
    </row>
    <row r="30" spans="1:12" x14ac:dyDescent="0.25">
      <c r="A30" s="26">
        <v>27</v>
      </c>
      <c r="B30" s="64" t="s">
        <v>169</v>
      </c>
      <c r="C30" s="60"/>
      <c r="D30" s="60"/>
      <c r="E30" s="60"/>
      <c r="F30" s="60"/>
      <c r="G30" s="60"/>
      <c r="H30" s="60"/>
      <c r="I30" s="60"/>
      <c r="J30" s="57">
        <f t="shared" si="0"/>
        <v>0</v>
      </c>
      <c r="K30" s="26">
        <f>'Compliance Tracker'!J30</f>
        <v>0</v>
      </c>
      <c r="L30" s="58">
        <f t="shared" si="1"/>
        <v>0</v>
      </c>
    </row>
    <row r="31" spans="1:12" x14ac:dyDescent="0.25">
      <c r="A31" s="26">
        <v>28</v>
      </c>
      <c r="B31" s="64" t="s">
        <v>169</v>
      </c>
      <c r="C31" s="60"/>
      <c r="D31" s="60"/>
      <c r="E31" s="60"/>
      <c r="F31" s="60"/>
      <c r="G31" s="60"/>
      <c r="H31" s="60"/>
      <c r="I31" s="60"/>
      <c r="J31" s="57">
        <f t="shared" si="0"/>
        <v>0</v>
      </c>
      <c r="K31" s="26">
        <f>'Compliance Tracker'!J31</f>
        <v>0</v>
      </c>
      <c r="L31" s="58">
        <f t="shared" si="1"/>
        <v>0</v>
      </c>
    </row>
    <row r="32" spans="1:12" x14ac:dyDescent="0.25">
      <c r="A32" s="26">
        <v>29</v>
      </c>
      <c r="B32" s="64" t="s">
        <v>169</v>
      </c>
      <c r="C32" s="60"/>
      <c r="D32" s="60"/>
      <c r="E32" s="60"/>
      <c r="F32" s="60"/>
      <c r="G32" s="60"/>
      <c r="H32" s="60"/>
      <c r="I32" s="60"/>
      <c r="J32" s="57">
        <f t="shared" si="0"/>
        <v>0</v>
      </c>
      <c r="K32" s="26">
        <f>'Compliance Tracker'!J32</f>
        <v>0</v>
      </c>
      <c r="L32" s="58">
        <f t="shared" si="1"/>
        <v>0</v>
      </c>
    </row>
    <row r="33" spans="1:12" x14ac:dyDescent="0.25">
      <c r="A33" s="26">
        <v>30</v>
      </c>
      <c r="B33" s="64" t="s">
        <v>169</v>
      </c>
      <c r="C33" s="60"/>
      <c r="D33" s="60"/>
      <c r="E33" s="60"/>
      <c r="F33" s="60"/>
      <c r="G33" s="60"/>
      <c r="H33" s="60"/>
      <c r="I33" s="60"/>
      <c r="J33" s="57">
        <f t="shared" si="0"/>
        <v>0</v>
      </c>
      <c r="K33" s="26">
        <f>'Compliance Tracker'!J33</f>
        <v>0</v>
      </c>
      <c r="L33" s="58">
        <f t="shared" si="1"/>
        <v>0</v>
      </c>
    </row>
    <row r="34" spans="1:12" x14ac:dyDescent="0.25">
      <c r="A34" s="26">
        <v>31</v>
      </c>
      <c r="B34" s="64" t="s">
        <v>169</v>
      </c>
      <c r="C34" s="60"/>
      <c r="D34" s="60"/>
      <c r="E34" s="60"/>
      <c r="F34" s="60"/>
      <c r="G34" s="60"/>
      <c r="H34" s="60"/>
      <c r="I34" s="60"/>
      <c r="J34" s="57">
        <f t="shared" si="0"/>
        <v>0</v>
      </c>
      <c r="K34" s="26">
        <f>'Compliance Tracker'!J34</f>
        <v>0</v>
      </c>
      <c r="L34" s="58">
        <f t="shared" si="1"/>
        <v>0</v>
      </c>
    </row>
    <row r="35" spans="1:12" x14ac:dyDescent="0.25">
      <c r="A35" s="26">
        <v>32</v>
      </c>
      <c r="B35" s="64" t="s">
        <v>169</v>
      </c>
      <c r="C35" s="60"/>
      <c r="D35" s="60"/>
      <c r="E35" s="60"/>
      <c r="F35" s="60"/>
      <c r="G35" s="60"/>
      <c r="H35" s="60"/>
      <c r="I35" s="60"/>
      <c r="J35" s="57">
        <f t="shared" si="0"/>
        <v>0</v>
      </c>
      <c r="K35" s="26">
        <f>'Compliance Tracker'!J35</f>
        <v>0</v>
      </c>
      <c r="L35" s="58">
        <f t="shared" si="1"/>
        <v>0</v>
      </c>
    </row>
    <row r="36" spans="1:12" x14ac:dyDescent="0.25">
      <c r="A36" s="26">
        <v>33</v>
      </c>
      <c r="B36" s="64" t="s">
        <v>169</v>
      </c>
      <c r="C36" s="60"/>
      <c r="D36" s="60"/>
      <c r="E36" s="60"/>
      <c r="F36" s="60"/>
      <c r="G36" s="60"/>
      <c r="H36" s="60"/>
      <c r="I36" s="60"/>
      <c r="J36" s="57">
        <f t="shared" ref="J36:J67" si="2">SUM(C36:I36)</f>
        <v>0</v>
      </c>
      <c r="K36" s="26">
        <f>'Compliance Tracker'!J36</f>
        <v>0</v>
      </c>
      <c r="L36" s="58">
        <f t="shared" ref="L36:L67" si="3">IF(K36&gt;0,J36/K36,0)</f>
        <v>0</v>
      </c>
    </row>
    <row r="37" spans="1:12" x14ac:dyDescent="0.25">
      <c r="A37" s="26">
        <v>34</v>
      </c>
      <c r="B37" s="64" t="s">
        <v>169</v>
      </c>
      <c r="C37" s="60"/>
      <c r="D37" s="60"/>
      <c r="E37" s="60"/>
      <c r="F37" s="60"/>
      <c r="G37" s="60"/>
      <c r="H37" s="60"/>
      <c r="I37" s="60"/>
      <c r="J37" s="57">
        <f t="shared" si="2"/>
        <v>0</v>
      </c>
      <c r="K37" s="26">
        <f>'Compliance Tracker'!J37</f>
        <v>0</v>
      </c>
      <c r="L37" s="58">
        <f t="shared" si="3"/>
        <v>0</v>
      </c>
    </row>
    <row r="38" spans="1:12" x14ac:dyDescent="0.25">
      <c r="A38" s="26">
        <v>35</v>
      </c>
      <c r="B38" s="64" t="s">
        <v>169</v>
      </c>
      <c r="C38" s="60"/>
      <c r="D38" s="60"/>
      <c r="E38" s="60"/>
      <c r="F38" s="60"/>
      <c r="G38" s="60"/>
      <c r="H38" s="60"/>
      <c r="I38" s="60"/>
      <c r="J38" s="57">
        <f t="shared" si="2"/>
        <v>0</v>
      </c>
      <c r="K38" s="26">
        <f>'Compliance Tracker'!J38</f>
        <v>0</v>
      </c>
      <c r="L38" s="58">
        <f t="shared" si="3"/>
        <v>0</v>
      </c>
    </row>
    <row r="39" spans="1:12" x14ac:dyDescent="0.25">
      <c r="A39" s="26">
        <v>36</v>
      </c>
      <c r="B39" s="64" t="s">
        <v>169</v>
      </c>
      <c r="C39" s="60"/>
      <c r="D39" s="60"/>
      <c r="E39" s="60"/>
      <c r="F39" s="60"/>
      <c r="G39" s="60"/>
      <c r="H39" s="60"/>
      <c r="I39" s="60"/>
      <c r="J39" s="57">
        <f t="shared" si="2"/>
        <v>0</v>
      </c>
      <c r="K39" s="26">
        <f>'Compliance Tracker'!J39</f>
        <v>0</v>
      </c>
      <c r="L39" s="58">
        <f t="shared" si="3"/>
        <v>0</v>
      </c>
    </row>
    <row r="40" spans="1:12" x14ac:dyDescent="0.25">
      <c r="A40" s="26">
        <v>37</v>
      </c>
      <c r="B40" s="64" t="s">
        <v>169</v>
      </c>
      <c r="C40" s="60"/>
      <c r="D40" s="60"/>
      <c r="E40" s="60"/>
      <c r="F40" s="60"/>
      <c r="G40" s="60"/>
      <c r="H40" s="60"/>
      <c r="I40" s="60"/>
      <c r="J40" s="57">
        <f t="shared" si="2"/>
        <v>0</v>
      </c>
      <c r="K40" s="26">
        <f>'Compliance Tracker'!J40</f>
        <v>0</v>
      </c>
      <c r="L40" s="58">
        <f t="shared" si="3"/>
        <v>0</v>
      </c>
    </row>
    <row r="41" spans="1:12" x14ac:dyDescent="0.25">
      <c r="A41" s="26">
        <v>38</v>
      </c>
      <c r="B41" s="64" t="s">
        <v>169</v>
      </c>
      <c r="C41" s="60"/>
      <c r="D41" s="60"/>
      <c r="E41" s="60"/>
      <c r="F41" s="60"/>
      <c r="G41" s="60"/>
      <c r="H41" s="60"/>
      <c r="I41" s="60"/>
      <c r="J41" s="57">
        <f t="shared" si="2"/>
        <v>0</v>
      </c>
      <c r="K41" s="26">
        <f>'Compliance Tracker'!J41</f>
        <v>0</v>
      </c>
      <c r="L41" s="58">
        <f t="shared" si="3"/>
        <v>0</v>
      </c>
    </row>
    <row r="42" spans="1:12" x14ac:dyDescent="0.25">
      <c r="A42" s="26">
        <v>39</v>
      </c>
      <c r="B42" s="64" t="s">
        <v>169</v>
      </c>
      <c r="C42" s="60"/>
      <c r="D42" s="60"/>
      <c r="E42" s="60"/>
      <c r="F42" s="60"/>
      <c r="G42" s="60"/>
      <c r="H42" s="60"/>
      <c r="I42" s="60"/>
      <c r="J42" s="57">
        <f t="shared" si="2"/>
        <v>0</v>
      </c>
      <c r="K42" s="26">
        <f>'Compliance Tracker'!J42</f>
        <v>0</v>
      </c>
      <c r="L42" s="58">
        <f t="shared" si="3"/>
        <v>0</v>
      </c>
    </row>
    <row r="43" spans="1:12" x14ac:dyDescent="0.25">
      <c r="A43" s="26">
        <v>40</v>
      </c>
      <c r="B43" s="64" t="s">
        <v>169</v>
      </c>
      <c r="C43" s="60"/>
      <c r="D43" s="60"/>
      <c r="E43" s="60"/>
      <c r="F43" s="60"/>
      <c r="G43" s="60"/>
      <c r="H43" s="60"/>
      <c r="I43" s="60"/>
      <c r="J43" s="57">
        <f t="shared" si="2"/>
        <v>0</v>
      </c>
      <c r="K43" s="26">
        <f>'Compliance Tracker'!J43</f>
        <v>0</v>
      </c>
      <c r="L43" s="58">
        <f t="shared" si="3"/>
        <v>0</v>
      </c>
    </row>
    <row r="44" spans="1:12" x14ac:dyDescent="0.25">
      <c r="A44" s="26">
        <v>41</v>
      </c>
      <c r="B44" s="64" t="s">
        <v>169</v>
      </c>
      <c r="C44" s="60"/>
      <c r="D44" s="60"/>
      <c r="E44" s="60"/>
      <c r="F44" s="60"/>
      <c r="G44" s="60"/>
      <c r="H44" s="60"/>
      <c r="I44" s="60"/>
      <c r="J44" s="57">
        <f t="shared" si="2"/>
        <v>0</v>
      </c>
      <c r="K44" s="26">
        <f>'Compliance Tracker'!J44</f>
        <v>0</v>
      </c>
      <c r="L44" s="58">
        <f t="shared" si="3"/>
        <v>0</v>
      </c>
    </row>
    <row r="45" spans="1:12" x14ac:dyDescent="0.25">
      <c r="A45" s="26">
        <v>42</v>
      </c>
      <c r="B45" s="64" t="s">
        <v>169</v>
      </c>
      <c r="C45" s="60"/>
      <c r="D45" s="60"/>
      <c r="E45" s="60"/>
      <c r="F45" s="60"/>
      <c r="G45" s="60"/>
      <c r="H45" s="60"/>
      <c r="I45" s="60"/>
      <c r="J45" s="57">
        <f t="shared" si="2"/>
        <v>0</v>
      </c>
      <c r="K45" s="26">
        <f>'Compliance Tracker'!J45</f>
        <v>0</v>
      </c>
      <c r="L45" s="58">
        <f t="shared" si="3"/>
        <v>0</v>
      </c>
    </row>
    <row r="46" spans="1:12" x14ac:dyDescent="0.25">
      <c r="A46" s="26">
        <v>43</v>
      </c>
      <c r="B46" s="64" t="s">
        <v>169</v>
      </c>
      <c r="C46" s="60"/>
      <c r="D46" s="60"/>
      <c r="E46" s="60"/>
      <c r="F46" s="60"/>
      <c r="G46" s="60"/>
      <c r="H46" s="60"/>
      <c r="I46" s="60"/>
      <c r="J46" s="57">
        <f t="shared" si="2"/>
        <v>0</v>
      </c>
      <c r="K46" s="26">
        <f>'Compliance Tracker'!J46</f>
        <v>0</v>
      </c>
      <c r="L46" s="58">
        <f t="shared" si="3"/>
        <v>0</v>
      </c>
    </row>
    <row r="47" spans="1:12" x14ac:dyDescent="0.25">
      <c r="A47" s="26">
        <v>44</v>
      </c>
      <c r="B47" s="63" t="s">
        <v>277</v>
      </c>
      <c r="C47" s="60"/>
      <c r="D47" s="60"/>
      <c r="E47" s="60"/>
      <c r="F47" s="60"/>
      <c r="G47" s="60"/>
      <c r="H47" s="60"/>
      <c r="I47" s="60"/>
      <c r="J47" s="57">
        <f t="shared" si="2"/>
        <v>0</v>
      </c>
      <c r="K47" s="26">
        <f>'Compliance Tracker'!J47</f>
        <v>0</v>
      </c>
      <c r="L47" s="58">
        <f t="shared" si="3"/>
        <v>0</v>
      </c>
    </row>
    <row r="48" spans="1:12" x14ac:dyDescent="0.25">
      <c r="A48" s="26">
        <v>45</v>
      </c>
      <c r="B48" s="63" t="s">
        <v>277</v>
      </c>
      <c r="C48" s="60"/>
      <c r="D48" s="60"/>
      <c r="E48" s="60"/>
      <c r="F48" s="60"/>
      <c r="G48" s="60"/>
      <c r="H48" s="60"/>
      <c r="I48" s="60"/>
      <c r="J48" s="57">
        <f t="shared" si="2"/>
        <v>0</v>
      </c>
      <c r="K48" s="26">
        <f>'Compliance Tracker'!J48</f>
        <v>0</v>
      </c>
      <c r="L48" s="58">
        <f t="shared" si="3"/>
        <v>0</v>
      </c>
    </row>
    <row r="49" spans="1:12" x14ac:dyDescent="0.25">
      <c r="A49" s="26">
        <v>46</v>
      </c>
      <c r="B49" s="63" t="s">
        <v>277</v>
      </c>
      <c r="C49" s="60"/>
      <c r="D49" s="60"/>
      <c r="E49" s="60"/>
      <c r="F49" s="60"/>
      <c r="G49" s="60"/>
      <c r="H49" s="60"/>
      <c r="I49" s="60"/>
      <c r="J49" s="57">
        <f t="shared" si="2"/>
        <v>0</v>
      </c>
      <c r="K49" s="26">
        <f>'Compliance Tracker'!J49</f>
        <v>0</v>
      </c>
      <c r="L49" s="58">
        <f t="shared" si="3"/>
        <v>0</v>
      </c>
    </row>
    <row r="50" spans="1:12" x14ac:dyDescent="0.25">
      <c r="A50" s="26">
        <v>47</v>
      </c>
      <c r="B50" s="63" t="s">
        <v>277</v>
      </c>
      <c r="C50" s="60"/>
      <c r="D50" s="60"/>
      <c r="E50" s="60"/>
      <c r="F50" s="60"/>
      <c r="G50" s="60"/>
      <c r="H50" s="60"/>
      <c r="I50" s="60"/>
      <c r="J50" s="57">
        <f t="shared" si="2"/>
        <v>0</v>
      </c>
      <c r="K50" s="26">
        <f>'Compliance Tracker'!J50</f>
        <v>0</v>
      </c>
      <c r="L50" s="58">
        <f t="shared" si="3"/>
        <v>0</v>
      </c>
    </row>
    <row r="51" spans="1:12" x14ac:dyDescent="0.25">
      <c r="A51" s="26">
        <v>48</v>
      </c>
      <c r="B51" s="63" t="s">
        <v>277</v>
      </c>
      <c r="C51" s="60"/>
      <c r="D51" s="60"/>
      <c r="E51" s="60"/>
      <c r="F51" s="60"/>
      <c r="G51" s="60"/>
      <c r="H51" s="60"/>
      <c r="I51" s="60"/>
      <c r="J51" s="57">
        <f t="shared" si="2"/>
        <v>0</v>
      </c>
      <c r="K51" s="26">
        <f>'Compliance Tracker'!J51</f>
        <v>0</v>
      </c>
      <c r="L51" s="58">
        <f t="shared" si="3"/>
        <v>0</v>
      </c>
    </row>
    <row r="52" spans="1:12" x14ac:dyDescent="0.25">
      <c r="A52" s="26">
        <v>49</v>
      </c>
      <c r="B52" s="63" t="s">
        <v>277</v>
      </c>
      <c r="C52" s="60"/>
      <c r="D52" s="60"/>
      <c r="E52" s="60"/>
      <c r="F52" s="60"/>
      <c r="G52" s="60"/>
      <c r="H52" s="60"/>
      <c r="I52" s="60"/>
      <c r="J52" s="57">
        <f t="shared" si="2"/>
        <v>0</v>
      </c>
      <c r="K52" s="26">
        <f>'Compliance Tracker'!J52</f>
        <v>0</v>
      </c>
      <c r="L52" s="58">
        <f t="shared" si="3"/>
        <v>0</v>
      </c>
    </row>
    <row r="53" spans="1:12" x14ac:dyDescent="0.25">
      <c r="A53" s="26">
        <v>50</v>
      </c>
      <c r="B53" s="63" t="s">
        <v>277</v>
      </c>
      <c r="C53" s="60"/>
      <c r="D53" s="60"/>
      <c r="E53" s="60"/>
      <c r="F53" s="60"/>
      <c r="G53" s="60"/>
      <c r="H53" s="60"/>
      <c r="I53" s="60"/>
      <c r="J53" s="57">
        <f t="shared" si="2"/>
        <v>0</v>
      </c>
      <c r="K53" s="26">
        <f>'Compliance Tracker'!J53</f>
        <v>0</v>
      </c>
      <c r="L53" s="58">
        <f t="shared" si="3"/>
        <v>0</v>
      </c>
    </row>
    <row r="54" spans="1:12" x14ac:dyDescent="0.25">
      <c r="A54" s="26">
        <v>51</v>
      </c>
      <c r="B54" s="63" t="s">
        <v>277</v>
      </c>
      <c r="C54" s="60"/>
      <c r="D54" s="60"/>
      <c r="E54" s="60"/>
      <c r="F54" s="60"/>
      <c r="G54" s="60"/>
      <c r="H54" s="60"/>
      <c r="I54" s="60"/>
      <c r="J54" s="57">
        <f t="shared" si="2"/>
        <v>0</v>
      </c>
      <c r="K54" s="26">
        <f>'Compliance Tracker'!J54</f>
        <v>0</v>
      </c>
      <c r="L54" s="58">
        <f t="shared" si="3"/>
        <v>0</v>
      </c>
    </row>
    <row r="55" spans="1:12" x14ac:dyDescent="0.25">
      <c r="A55" s="26">
        <v>52</v>
      </c>
      <c r="B55" s="63" t="s">
        <v>277</v>
      </c>
      <c r="C55" s="60"/>
      <c r="D55" s="60"/>
      <c r="E55" s="60"/>
      <c r="F55" s="60"/>
      <c r="G55" s="60"/>
      <c r="H55" s="60"/>
      <c r="I55" s="60"/>
      <c r="J55" s="57">
        <f t="shared" si="2"/>
        <v>0</v>
      </c>
      <c r="K55" s="26">
        <f>'Compliance Tracker'!J55</f>
        <v>0</v>
      </c>
      <c r="L55" s="58">
        <f t="shared" si="3"/>
        <v>0</v>
      </c>
    </row>
    <row r="58" spans="1:12" ht="24" customHeight="1" x14ac:dyDescent="0.25">
      <c r="A58" s="9" t="s">
        <v>445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0" customHeight="1" x14ac:dyDescent="0.25">
      <c r="A59" s="12" t="s">
        <v>54</v>
      </c>
      <c r="B59" s="12" t="s">
        <v>442</v>
      </c>
      <c r="C59" s="12" t="s">
        <v>446</v>
      </c>
      <c r="D59" s="12" t="s">
        <v>447</v>
      </c>
      <c r="E59" s="12"/>
      <c r="F59" s="12"/>
      <c r="G59" s="12"/>
      <c r="H59" s="12"/>
      <c r="I59" s="12"/>
      <c r="J59" s="12"/>
      <c r="K59" s="12"/>
      <c r="L59" s="12"/>
    </row>
    <row r="60" spans="1:12" x14ac:dyDescent="0.25">
      <c r="A60" s="13" t="s">
        <v>59</v>
      </c>
      <c r="B60" s="26">
        <f>SUM(C4:C55)</f>
        <v>0</v>
      </c>
      <c r="C60" s="38">
        <f>IF(COUNTA(C4:C55)&gt;0,AVERAGE(C4:C55),0)</f>
        <v>0</v>
      </c>
      <c r="D60" s="84">
        <f t="shared" ref="D60:D66" si="4">B60*30</f>
        <v>0</v>
      </c>
    </row>
    <row r="61" spans="1:12" x14ac:dyDescent="0.25">
      <c r="A61" s="13" t="s">
        <v>62</v>
      </c>
      <c r="B61" s="26">
        <f>SUM(D4:D55)</f>
        <v>0</v>
      </c>
      <c r="C61" s="38">
        <f>IF(COUNTA(D4:D55)&gt;0,AVERAGE(D4:D55),0)</f>
        <v>0</v>
      </c>
      <c r="D61" s="84">
        <f t="shared" si="4"/>
        <v>0</v>
      </c>
    </row>
    <row r="62" spans="1:12" x14ac:dyDescent="0.25">
      <c r="A62" s="13" t="s">
        <v>63</v>
      </c>
      <c r="B62" s="26">
        <f>SUM(E4:E55)</f>
        <v>0</v>
      </c>
      <c r="C62" s="38">
        <f>IF(COUNTA(E4:E55)&gt;0,AVERAGE(E4:E55),0)</f>
        <v>0</v>
      </c>
      <c r="D62" s="84">
        <f t="shared" si="4"/>
        <v>0</v>
      </c>
    </row>
    <row r="63" spans="1:12" x14ac:dyDescent="0.25">
      <c r="A63" s="13" t="s">
        <v>66</v>
      </c>
      <c r="B63" s="26">
        <f>SUM(F4:F55)</f>
        <v>0</v>
      </c>
      <c r="C63" s="38">
        <f>IF(COUNTA(F4:F55)&gt;0,AVERAGE(F4:F55),0)</f>
        <v>0</v>
      </c>
      <c r="D63" s="84">
        <f t="shared" si="4"/>
        <v>0</v>
      </c>
    </row>
    <row r="64" spans="1:12" x14ac:dyDescent="0.25">
      <c r="A64" s="13" t="s">
        <v>67</v>
      </c>
      <c r="B64" s="26">
        <f>SUM(G4:G55)</f>
        <v>0</v>
      </c>
      <c r="C64" s="38">
        <f>IF(COUNTA(G4:G55)&gt;0,AVERAGE(G4:G55),0)</f>
        <v>0</v>
      </c>
      <c r="D64" s="84">
        <f t="shared" si="4"/>
        <v>0</v>
      </c>
    </row>
    <row r="65" spans="1:12" x14ac:dyDescent="0.25">
      <c r="A65" s="13" t="s">
        <v>68</v>
      </c>
      <c r="B65" s="26">
        <f>SUM(H4:H55)</f>
        <v>0</v>
      </c>
      <c r="C65" s="38">
        <f>IF(COUNTA(H4:H55)&gt;0,AVERAGE(H4:H55),0)</f>
        <v>0</v>
      </c>
      <c r="D65" s="84">
        <f t="shared" si="4"/>
        <v>0</v>
      </c>
    </row>
    <row r="66" spans="1:12" x14ac:dyDescent="0.25">
      <c r="A66" s="13" t="s">
        <v>69</v>
      </c>
      <c r="B66" s="26">
        <f>SUM(I4:I55)</f>
        <v>0</v>
      </c>
      <c r="C66" s="38">
        <f>IF(COUNTA(I4:I55)&gt;0,AVERAGE(I4:I55),0)</f>
        <v>0</v>
      </c>
      <c r="D66" s="84">
        <f t="shared" si="4"/>
        <v>0</v>
      </c>
    </row>
    <row r="67" spans="1:12" x14ac:dyDescent="0.25">
      <c r="A67" s="28" t="s">
        <v>105</v>
      </c>
      <c r="B67" s="29">
        <f>SUM(B60:B66)</f>
        <v>0</v>
      </c>
      <c r="C67" s="40">
        <f>IF(COUNTA(J4:J55)&gt;0,AVERAGE(J4:J55),0)</f>
        <v>0</v>
      </c>
      <c r="D67" s="85">
        <f>SUM(D60:D66)</f>
        <v>0</v>
      </c>
    </row>
    <row r="69" spans="1:12" ht="24" customHeight="1" x14ac:dyDescent="0.25">
      <c r="A69" s="9" t="s">
        <v>448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3" t="s">
        <v>449</v>
      </c>
      <c r="B70" s="22">
        <v>0.05</v>
      </c>
      <c r="C70" s="16" t="s">
        <v>450</v>
      </c>
    </row>
    <row r="71" spans="1:12" x14ac:dyDescent="0.25">
      <c r="A71" s="13" t="s">
        <v>451</v>
      </c>
      <c r="B71" s="22">
        <v>0.1</v>
      </c>
      <c r="C71" s="16" t="s">
        <v>452</v>
      </c>
    </row>
    <row r="72" spans="1:12" x14ac:dyDescent="0.25">
      <c r="A72" s="13" t="s">
        <v>453</v>
      </c>
      <c r="B72" s="86">
        <v>30</v>
      </c>
      <c r="C72" s="16" t="s">
        <v>454</v>
      </c>
    </row>
  </sheetData>
  <mergeCells count="4">
    <mergeCell ref="A1:L1"/>
    <mergeCell ref="A2:L2"/>
    <mergeCell ref="A58:L58"/>
    <mergeCell ref="A69:L69"/>
  </mergeCells>
  <pageMargins left="0.75" right="0.75" top="1" bottom="1" header="0.511811023622047" footer="0.511811023622047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5A5A6"/>
  </sheetPr>
  <dimension ref="A1:J12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24" customWidth="1"/>
    <col min="2" max="2" width="22" customWidth="1"/>
    <col min="3" max="9" width="18" customWidth="1"/>
    <col min="10" max="10" width="30" customWidth="1"/>
  </cols>
  <sheetData>
    <row r="1" spans="1:10" ht="27.75" customHeight="1" x14ac:dyDescent="0.25">
      <c r="A1" s="11" t="s">
        <v>455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" t="s">
        <v>456</v>
      </c>
      <c r="B2" s="1"/>
      <c r="C2" s="1"/>
      <c r="D2" s="1"/>
      <c r="E2" s="1"/>
      <c r="F2" s="1"/>
      <c r="G2" s="1"/>
      <c r="H2" s="1"/>
      <c r="I2" s="1"/>
      <c r="J2" s="1"/>
    </row>
    <row r="4" spans="1:10" ht="24" customHeight="1" x14ac:dyDescent="0.25">
      <c r="A4" s="9" t="s">
        <v>457</v>
      </c>
      <c r="B4" s="9"/>
      <c r="C4" s="9"/>
      <c r="D4" s="9"/>
      <c r="E4" s="9"/>
      <c r="F4" s="9"/>
      <c r="G4" s="9"/>
      <c r="H4" s="9"/>
      <c r="I4" s="9"/>
      <c r="J4" s="9"/>
    </row>
    <row r="5" spans="1:10" ht="30" customHeight="1" x14ac:dyDescent="0.25">
      <c r="A5" s="12" t="s">
        <v>335</v>
      </c>
      <c r="B5" s="12" t="s">
        <v>173</v>
      </c>
      <c r="C5" s="12" t="s">
        <v>54</v>
      </c>
      <c r="D5" s="12" t="s">
        <v>43</v>
      </c>
      <c r="E5" s="12" t="s">
        <v>458</v>
      </c>
      <c r="F5" s="12" t="s">
        <v>459</v>
      </c>
      <c r="G5" s="12" t="s">
        <v>460</v>
      </c>
      <c r="H5" s="12" t="s">
        <v>461</v>
      </c>
      <c r="I5" s="12" t="s">
        <v>462</v>
      </c>
      <c r="J5" s="12" t="s">
        <v>179</v>
      </c>
    </row>
    <row r="6" spans="1:10" x14ac:dyDescent="0.25">
      <c r="A6" s="87"/>
      <c r="B6" s="65"/>
      <c r="C6" s="65"/>
      <c r="D6" s="65"/>
      <c r="E6" s="65"/>
      <c r="F6" s="65"/>
      <c r="G6" s="60"/>
      <c r="H6" s="65"/>
      <c r="I6" s="65"/>
      <c r="J6" s="15"/>
    </row>
    <row r="7" spans="1:10" x14ac:dyDescent="0.25">
      <c r="A7" s="87"/>
      <c r="B7" s="65"/>
      <c r="C7" s="65"/>
      <c r="D7" s="65"/>
      <c r="E7" s="65"/>
      <c r="F7" s="65"/>
      <c r="G7" s="60"/>
      <c r="H7" s="65"/>
      <c r="I7" s="65"/>
      <c r="J7" s="55"/>
    </row>
    <row r="8" spans="1:10" x14ac:dyDescent="0.25">
      <c r="A8" s="87"/>
      <c r="B8" s="65"/>
      <c r="C8" s="65"/>
      <c r="D8" s="65"/>
      <c r="E8" s="65"/>
      <c r="F8" s="65"/>
      <c r="G8" s="60"/>
      <c r="H8" s="65"/>
      <c r="I8" s="65"/>
      <c r="J8" s="15"/>
    </row>
    <row r="9" spans="1:10" x14ac:dyDescent="0.25">
      <c r="A9" s="87"/>
      <c r="B9" s="65"/>
      <c r="C9" s="65"/>
      <c r="D9" s="65"/>
      <c r="E9" s="65"/>
      <c r="F9" s="65"/>
      <c r="G9" s="60"/>
      <c r="H9" s="65"/>
      <c r="I9" s="65"/>
      <c r="J9" s="55"/>
    </row>
    <row r="10" spans="1:10" x14ac:dyDescent="0.25">
      <c r="A10" s="87"/>
      <c r="B10" s="65"/>
      <c r="C10" s="65"/>
      <c r="D10" s="65"/>
      <c r="E10" s="65"/>
      <c r="F10" s="65"/>
      <c r="G10" s="60"/>
      <c r="H10" s="65"/>
      <c r="I10" s="65"/>
      <c r="J10" s="15"/>
    </row>
    <row r="11" spans="1:10" x14ac:dyDescent="0.25">
      <c r="A11" s="87"/>
      <c r="B11" s="65"/>
      <c r="C11" s="65"/>
      <c r="D11" s="65"/>
      <c r="E11" s="65"/>
      <c r="F11" s="65"/>
      <c r="G11" s="60"/>
      <c r="H11" s="65"/>
      <c r="I11" s="65"/>
      <c r="J11" s="55"/>
    </row>
    <row r="12" spans="1:10" x14ac:dyDescent="0.25">
      <c r="A12" s="87"/>
      <c r="B12" s="65"/>
      <c r="C12" s="65"/>
      <c r="D12" s="65"/>
      <c r="E12" s="65"/>
      <c r="F12" s="65"/>
      <c r="G12" s="60"/>
      <c r="H12" s="65"/>
      <c r="I12" s="65"/>
      <c r="J12" s="15"/>
    </row>
    <row r="13" spans="1:10" x14ac:dyDescent="0.25">
      <c r="A13" s="87"/>
      <c r="B13" s="65"/>
      <c r="C13" s="65"/>
      <c r="D13" s="65"/>
      <c r="E13" s="65"/>
      <c r="F13" s="65"/>
      <c r="G13" s="60"/>
      <c r="H13" s="65"/>
      <c r="I13" s="65"/>
      <c r="J13" s="55"/>
    </row>
    <row r="14" spans="1:10" x14ac:dyDescent="0.25">
      <c r="A14" s="87"/>
      <c r="B14" s="65"/>
      <c r="C14" s="65"/>
      <c r="D14" s="65"/>
      <c r="E14" s="65"/>
      <c r="F14" s="65"/>
      <c r="G14" s="60"/>
      <c r="H14" s="65"/>
      <c r="I14" s="65"/>
      <c r="J14" s="15"/>
    </row>
    <row r="15" spans="1:10" x14ac:dyDescent="0.25">
      <c r="A15" s="87"/>
      <c r="B15" s="65"/>
      <c r="C15" s="65"/>
      <c r="D15" s="65"/>
      <c r="E15" s="65"/>
      <c r="F15" s="65"/>
      <c r="G15" s="60"/>
      <c r="H15" s="65"/>
      <c r="I15" s="65"/>
      <c r="J15" s="55"/>
    </row>
    <row r="16" spans="1:10" x14ac:dyDescent="0.25">
      <c r="A16" s="87"/>
      <c r="B16" s="65"/>
      <c r="C16" s="65"/>
      <c r="D16" s="65"/>
      <c r="E16" s="65"/>
      <c r="F16" s="65"/>
      <c r="G16" s="60"/>
      <c r="H16" s="65"/>
      <c r="I16" s="65"/>
      <c r="J16" s="15"/>
    </row>
    <row r="17" spans="1:10" x14ac:dyDescent="0.25">
      <c r="A17" s="87"/>
      <c r="B17" s="65"/>
      <c r="C17" s="65"/>
      <c r="D17" s="65"/>
      <c r="E17" s="65"/>
      <c r="F17" s="65"/>
      <c r="G17" s="60"/>
      <c r="H17" s="65"/>
      <c r="I17" s="65"/>
      <c r="J17" s="55"/>
    </row>
    <row r="18" spans="1:10" x14ac:dyDescent="0.25">
      <c r="A18" s="87"/>
      <c r="B18" s="65"/>
      <c r="C18" s="65"/>
      <c r="D18" s="65"/>
      <c r="E18" s="65"/>
      <c r="F18" s="65"/>
      <c r="G18" s="60"/>
      <c r="H18" s="65"/>
      <c r="I18" s="65"/>
      <c r="J18" s="15"/>
    </row>
    <row r="19" spans="1:10" x14ac:dyDescent="0.25">
      <c r="A19" s="87"/>
      <c r="B19" s="65"/>
      <c r="C19" s="65"/>
      <c r="D19" s="65"/>
      <c r="E19" s="65"/>
      <c r="F19" s="65"/>
      <c r="G19" s="60"/>
      <c r="H19" s="65"/>
      <c r="I19" s="65"/>
      <c r="J19" s="55"/>
    </row>
    <row r="20" spans="1:10" x14ac:dyDescent="0.25">
      <c r="A20" s="87"/>
      <c r="B20" s="65"/>
      <c r="C20" s="65"/>
      <c r="D20" s="65"/>
      <c r="E20" s="65"/>
      <c r="F20" s="65"/>
      <c r="G20" s="60"/>
      <c r="H20" s="65"/>
      <c r="I20" s="65"/>
      <c r="J20" s="15"/>
    </row>
    <row r="21" spans="1:10" x14ac:dyDescent="0.25">
      <c r="A21" s="87"/>
      <c r="B21" s="65"/>
      <c r="C21" s="65"/>
      <c r="D21" s="65"/>
      <c r="E21" s="65"/>
      <c r="F21" s="65"/>
      <c r="G21" s="60"/>
      <c r="H21" s="65"/>
      <c r="I21" s="65"/>
      <c r="J21" s="55"/>
    </row>
    <row r="22" spans="1:10" x14ac:dyDescent="0.25">
      <c r="A22" s="87"/>
      <c r="B22" s="65"/>
      <c r="C22" s="65"/>
      <c r="D22" s="65"/>
      <c r="E22" s="65"/>
      <c r="F22" s="65"/>
      <c r="G22" s="60"/>
      <c r="H22" s="65"/>
      <c r="I22" s="65"/>
      <c r="J22" s="15"/>
    </row>
    <row r="23" spans="1:10" x14ac:dyDescent="0.25">
      <c r="A23" s="87"/>
      <c r="B23" s="65"/>
      <c r="C23" s="65"/>
      <c r="D23" s="65"/>
      <c r="E23" s="65"/>
      <c r="F23" s="65"/>
      <c r="G23" s="60"/>
      <c r="H23" s="65"/>
      <c r="I23" s="65"/>
      <c r="J23" s="55"/>
    </row>
    <row r="24" spans="1:10" x14ac:dyDescent="0.25">
      <c r="A24" s="87"/>
      <c r="B24" s="65"/>
      <c r="C24" s="65"/>
      <c r="D24" s="65"/>
      <c r="E24" s="65"/>
      <c r="F24" s="65"/>
      <c r="G24" s="60"/>
      <c r="H24" s="65"/>
      <c r="I24" s="65"/>
      <c r="J24" s="15"/>
    </row>
    <row r="25" spans="1:10" x14ac:dyDescent="0.25">
      <c r="A25" s="87"/>
      <c r="B25" s="65"/>
      <c r="C25" s="65"/>
      <c r="D25" s="65"/>
      <c r="E25" s="65"/>
      <c r="F25" s="65"/>
      <c r="G25" s="60"/>
      <c r="H25" s="65"/>
      <c r="I25" s="65"/>
      <c r="J25" s="55"/>
    </row>
    <row r="26" spans="1:10" x14ac:dyDescent="0.25">
      <c r="A26" s="87"/>
      <c r="B26" s="65"/>
      <c r="C26" s="65"/>
      <c r="D26" s="65"/>
      <c r="E26" s="65"/>
      <c r="F26" s="65"/>
      <c r="G26" s="60"/>
      <c r="H26" s="65"/>
      <c r="I26" s="65"/>
      <c r="J26" s="15"/>
    </row>
    <row r="27" spans="1:10" x14ac:dyDescent="0.25">
      <c r="A27" s="87"/>
      <c r="B27" s="65"/>
      <c r="C27" s="65"/>
      <c r="D27" s="65"/>
      <c r="E27" s="65"/>
      <c r="F27" s="65"/>
      <c r="G27" s="60"/>
      <c r="H27" s="65"/>
      <c r="I27" s="65"/>
      <c r="J27" s="55"/>
    </row>
    <row r="28" spans="1:10" x14ac:dyDescent="0.25">
      <c r="A28" s="87"/>
      <c r="B28" s="65"/>
      <c r="C28" s="65"/>
      <c r="D28" s="65"/>
      <c r="E28" s="65"/>
      <c r="F28" s="65"/>
      <c r="G28" s="60"/>
      <c r="H28" s="65"/>
      <c r="I28" s="65"/>
      <c r="J28" s="15"/>
    </row>
    <row r="29" spans="1:10" x14ac:dyDescent="0.25">
      <c r="A29" s="87"/>
      <c r="B29" s="65"/>
      <c r="C29" s="65"/>
      <c r="D29" s="65"/>
      <c r="E29" s="65"/>
      <c r="F29" s="65"/>
      <c r="G29" s="60"/>
      <c r="H29" s="65"/>
      <c r="I29" s="65"/>
      <c r="J29" s="55"/>
    </row>
    <row r="30" spans="1:10" x14ac:dyDescent="0.25">
      <c r="A30" s="87"/>
      <c r="B30" s="65"/>
      <c r="C30" s="65"/>
      <c r="D30" s="65"/>
      <c r="E30" s="65"/>
      <c r="F30" s="65"/>
      <c r="G30" s="60"/>
      <c r="H30" s="65"/>
      <c r="I30" s="65"/>
      <c r="J30" s="15"/>
    </row>
    <row r="31" spans="1:10" x14ac:dyDescent="0.25">
      <c r="A31" s="87"/>
      <c r="B31" s="65"/>
      <c r="C31" s="65"/>
      <c r="D31" s="65"/>
      <c r="E31" s="65"/>
      <c r="F31" s="65"/>
      <c r="G31" s="60"/>
      <c r="H31" s="65"/>
      <c r="I31" s="65"/>
      <c r="J31" s="55"/>
    </row>
    <row r="32" spans="1:10" x14ac:dyDescent="0.25">
      <c r="A32" s="87"/>
      <c r="B32" s="65"/>
      <c r="C32" s="65"/>
      <c r="D32" s="65"/>
      <c r="E32" s="65"/>
      <c r="F32" s="65"/>
      <c r="G32" s="60"/>
      <c r="H32" s="65"/>
      <c r="I32" s="65"/>
      <c r="J32" s="15"/>
    </row>
    <row r="33" spans="1:10" x14ac:dyDescent="0.25">
      <c r="A33" s="87"/>
      <c r="B33" s="65"/>
      <c r="C33" s="65"/>
      <c r="D33" s="65"/>
      <c r="E33" s="65"/>
      <c r="F33" s="65"/>
      <c r="G33" s="60"/>
      <c r="H33" s="65"/>
      <c r="I33" s="65"/>
      <c r="J33" s="55"/>
    </row>
    <row r="34" spans="1:10" x14ac:dyDescent="0.25">
      <c r="A34" s="87"/>
      <c r="B34" s="65"/>
      <c r="C34" s="65"/>
      <c r="D34" s="65"/>
      <c r="E34" s="65"/>
      <c r="F34" s="65"/>
      <c r="G34" s="60"/>
      <c r="H34" s="65"/>
      <c r="I34" s="65"/>
      <c r="J34" s="15"/>
    </row>
    <row r="35" spans="1:10" x14ac:dyDescent="0.25">
      <c r="A35" s="87"/>
      <c r="B35" s="65"/>
      <c r="C35" s="65"/>
      <c r="D35" s="65"/>
      <c r="E35" s="65"/>
      <c r="F35" s="65"/>
      <c r="G35" s="60"/>
      <c r="H35" s="65"/>
      <c r="I35" s="65"/>
      <c r="J35" s="55"/>
    </row>
    <row r="36" spans="1:10" x14ac:dyDescent="0.25">
      <c r="A36" s="87"/>
      <c r="B36" s="65"/>
      <c r="C36" s="65"/>
      <c r="D36" s="65"/>
      <c r="E36" s="65"/>
      <c r="F36" s="65"/>
      <c r="G36" s="60"/>
      <c r="H36" s="65"/>
      <c r="I36" s="65"/>
      <c r="J36" s="15"/>
    </row>
    <row r="37" spans="1:10" x14ac:dyDescent="0.25">
      <c r="A37" s="87"/>
      <c r="B37" s="65"/>
      <c r="C37" s="65"/>
      <c r="D37" s="65"/>
      <c r="E37" s="65"/>
      <c r="F37" s="65"/>
      <c r="G37" s="60"/>
      <c r="H37" s="65"/>
      <c r="I37" s="65"/>
      <c r="J37" s="55"/>
    </row>
    <row r="38" spans="1:10" x14ac:dyDescent="0.25">
      <c r="A38" s="87"/>
      <c r="B38" s="65"/>
      <c r="C38" s="65"/>
      <c r="D38" s="65"/>
      <c r="E38" s="65"/>
      <c r="F38" s="65"/>
      <c r="G38" s="60"/>
      <c r="H38" s="65"/>
      <c r="I38" s="65"/>
      <c r="J38" s="15"/>
    </row>
    <row r="39" spans="1:10" x14ac:dyDescent="0.25">
      <c r="A39" s="87"/>
      <c r="B39" s="65"/>
      <c r="C39" s="65"/>
      <c r="D39" s="65"/>
      <c r="E39" s="65"/>
      <c r="F39" s="65"/>
      <c r="G39" s="60"/>
      <c r="H39" s="65"/>
      <c r="I39" s="65"/>
      <c r="J39" s="55"/>
    </row>
    <row r="40" spans="1:10" x14ac:dyDescent="0.25">
      <c r="A40" s="87"/>
      <c r="B40" s="65"/>
      <c r="C40" s="65"/>
      <c r="D40" s="65"/>
      <c r="E40" s="65"/>
      <c r="F40" s="65"/>
      <c r="G40" s="60"/>
      <c r="H40" s="65"/>
      <c r="I40" s="65"/>
      <c r="J40" s="15"/>
    </row>
    <row r="41" spans="1:10" x14ac:dyDescent="0.25">
      <c r="A41" s="87"/>
      <c r="B41" s="65"/>
      <c r="C41" s="65"/>
      <c r="D41" s="65"/>
      <c r="E41" s="65"/>
      <c r="F41" s="65"/>
      <c r="G41" s="60"/>
      <c r="H41" s="65"/>
      <c r="I41" s="65"/>
      <c r="J41" s="55"/>
    </row>
    <row r="42" spans="1:10" x14ac:dyDescent="0.25">
      <c r="A42" s="87"/>
      <c r="B42" s="65"/>
      <c r="C42" s="65"/>
      <c r="D42" s="65"/>
      <c r="E42" s="65"/>
      <c r="F42" s="65"/>
      <c r="G42" s="60"/>
      <c r="H42" s="65"/>
      <c r="I42" s="65"/>
      <c r="J42" s="15"/>
    </row>
    <row r="43" spans="1:10" x14ac:dyDescent="0.25">
      <c r="A43" s="87"/>
      <c r="B43" s="65"/>
      <c r="C43" s="65"/>
      <c r="D43" s="65"/>
      <c r="E43" s="65"/>
      <c r="F43" s="65"/>
      <c r="G43" s="60"/>
      <c r="H43" s="65"/>
      <c r="I43" s="65"/>
      <c r="J43" s="55"/>
    </row>
    <row r="44" spans="1:10" x14ac:dyDescent="0.25">
      <c r="A44" s="87"/>
      <c r="B44" s="65"/>
      <c r="C44" s="65"/>
      <c r="D44" s="65"/>
      <c r="E44" s="65"/>
      <c r="F44" s="65"/>
      <c r="G44" s="60"/>
      <c r="H44" s="65"/>
      <c r="I44" s="65"/>
      <c r="J44" s="15"/>
    </row>
    <row r="45" spans="1:10" x14ac:dyDescent="0.25">
      <c r="A45" s="87"/>
      <c r="B45" s="65"/>
      <c r="C45" s="65"/>
      <c r="D45" s="65"/>
      <c r="E45" s="65"/>
      <c r="F45" s="65"/>
      <c r="G45" s="60"/>
      <c r="H45" s="65"/>
      <c r="I45" s="65"/>
      <c r="J45" s="55"/>
    </row>
    <row r="46" spans="1:10" x14ac:dyDescent="0.25">
      <c r="A46" s="87"/>
      <c r="B46" s="65"/>
      <c r="C46" s="65"/>
      <c r="D46" s="65"/>
      <c r="E46" s="65"/>
      <c r="F46" s="65"/>
      <c r="G46" s="60"/>
      <c r="H46" s="65"/>
      <c r="I46" s="65"/>
      <c r="J46" s="15"/>
    </row>
    <row r="47" spans="1:10" x14ac:dyDescent="0.25">
      <c r="A47" s="87"/>
      <c r="B47" s="65"/>
      <c r="C47" s="65"/>
      <c r="D47" s="65"/>
      <c r="E47" s="65"/>
      <c r="F47" s="65"/>
      <c r="G47" s="60"/>
      <c r="H47" s="65"/>
      <c r="I47" s="65"/>
      <c r="J47" s="55"/>
    </row>
    <row r="48" spans="1:10" x14ac:dyDescent="0.25">
      <c r="A48" s="87"/>
      <c r="B48" s="65"/>
      <c r="C48" s="65"/>
      <c r="D48" s="65"/>
      <c r="E48" s="65"/>
      <c r="F48" s="65"/>
      <c r="G48" s="60"/>
      <c r="H48" s="65"/>
      <c r="I48" s="65"/>
      <c r="J48" s="15"/>
    </row>
    <row r="49" spans="1:10" x14ac:dyDescent="0.25">
      <c r="A49" s="87"/>
      <c r="B49" s="65"/>
      <c r="C49" s="65"/>
      <c r="D49" s="65"/>
      <c r="E49" s="65"/>
      <c r="F49" s="65"/>
      <c r="G49" s="60"/>
      <c r="H49" s="65"/>
      <c r="I49" s="65"/>
      <c r="J49" s="55"/>
    </row>
    <row r="50" spans="1:10" x14ac:dyDescent="0.25">
      <c r="A50" s="87"/>
      <c r="B50" s="65"/>
      <c r="C50" s="65"/>
      <c r="D50" s="65"/>
      <c r="E50" s="65"/>
      <c r="F50" s="65"/>
      <c r="G50" s="60"/>
      <c r="H50" s="65"/>
      <c r="I50" s="65"/>
      <c r="J50" s="15"/>
    </row>
    <row r="51" spans="1:10" x14ac:dyDescent="0.25">
      <c r="A51" s="87"/>
      <c r="B51" s="65"/>
      <c r="C51" s="65"/>
      <c r="D51" s="65"/>
      <c r="E51" s="65"/>
      <c r="F51" s="65"/>
      <c r="G51" s="60"/>
      <c r="H51" s="65"/>
      <c r="I51" s="65"/>
      <c r="J51" s="55"/>
    </row>
    <row r="52" spans="1:10" x14ac:dyDescent="0.25">
      <c r="A52" s="87"/>
      <c r="B52" s="65"/>
      <c r="C52" s="65"/>
      <c r="D52" s="65"/>
      <c r="E52" s="65"/>
      <c r="F52" s="65"/>
      <c r="G52" s="60"/>
      <c r="H52" s="65"/>
      <c r="I52" s="65"/>
      <c r="J52" s="15"/>
    </row>
    <row r="53" spans="1:10" x14ac:dyDescent="0.25">
      <c r="A53" s="87"/>
      <c r="B53" s="65"/>
      <c r="C53" s="65"/>
      <c r="D53" s="65"/>
      <c r="E53" s="65"/>
      <c r="F53" s="65"/>
      <c r="G53" s="60"/>
      <c r="H53" s="65"/>
      <c r="I53" s="65"/>
      <c r="J53" s="55"/>
    </row>
    <row r="54" spans="1:10" x14ac:dyDescent="0.25">
      <c r="A54" s="87"/>
      <c r="B54" s="65"/>
      <c r="C54" s="65"/>
      <c r="D54" s="65"/>
      <c r="E54" s="65"/>
      <c r="F54" s="65"/>
      <c r="G54" s="60"/>
      <c r="H54" s="65"/>
      <c r="I54" s="65"/>
      <c r="J54" s="15"/>
    </row>
    <row r="55" spans="1:10" x14ac:dyDescent="0.25">
      <c r="A55" s="87"/>
      <c r="B55" s="65"/>
      <c r="C55" s="65"/>
      <c r="D55" s="65"/>
      <c r="E55" s="65"/>
      <c r="F55" s="65"/>
      <c r="G55" s="60"/>
      <c r="H55" s="65"/>
      <c r="I55" s="65"/>
      <c r="J55" s="55"/>
    </row>
    <row r="56" spans="1:10" x14ac:dyDescent="0.25">
      <c r="A56" s="87"/>
      <c r="B56" s="65"/>
      <c r="C56" s="65"/>
      <c r="D56" s="65"/>
      <c r="E56" s="65"/>
      <c r="F56" s="65"/>
      <c r="G56" s="60"/>
      <c r="H56" s="65"/>
      <c r="I56" s="65"/>
      <c r="J56" s="15"/>
    </row>
    <row r="57" spans="1:10" x14ac:dyDescent="0.25">
      <c r="A57" s="87"/>
      <c r="B57" s="65"/>
      <c r="C57" s="65"/>
      <c r="D57" s="65"/>
      <c r="E57" s="65"/>
      <c r="F57" s="65"/>
      <c r="G57" s="60"/>
      <c r="H57" s="65"/>
      <c r="I57" s="65"/>
      <c r="J57" s="55"/>
    </row>
    <row r="58" spans="1:10" x14ac:dyDescent="0.25">
      <c r="A58" s="87"/>
      <c r="B58" s="65"/>
      <c r="C58" s="65"/>
      <c r="D58" s="65"/>
      <c r="E58" s="65"/>
      <c r="F58" s="65"/>
      <c r="G58" s="60"/>
      <c r="H58" s="65"/>
      <c r="I58" s="65"/>
      <c r="J58" s="15"/>
    </row>
    <row r="59" spans="1:10" x14ac:dyDescent="0.25">
      <c r="A59" s="87"/>
      <c r="B59" s="65"/>
      <c r="C59" s="65"/>
      <c r="D59" s="65"/>
      <c r="E59" s="65"/>
      <c r="F59" s="65"/>
      <c r="G59" s="60"/>
      <c r="H59" s="65"/>
      <c r="I59" s="65"/>
      <c r="J59" s="55"/>
    </row>
    <row r="60" spans="1:10" x14ac:dyDescent="0.25">
      <c r="A60" s="87"/>
      <c r="B60" s="65"/>
      <c r="C60" s="65"/>
      <c r="D60" s="65"/>
      <c r="E60" s="65"/>
      <c r="F60" s="65"/>
      <c r="G60" s="60"/>
      <c r="H60" s="65"/>
      <c r="I60" s="65"/>
      <c r="J60" s="15"/>
    </row>
    <row r="61" spans="1:10" x14ac:dyDescent="0.25">
      <c r="A61" s="87"/>
      <c r="B61" s="65"/>
      <c r="C61" s="65"/>
      <c r="D61" s="65"/>
      <c r="E61" s="65"/>
      <c r="F61" s="65"/>
      <c r="G61" s="60"/>
      <c r="H61" s="65"/>
      <c r="I61" s="65"/>
      <c r="J61" s="55"/>
    </row>
    <row r="62" spans="1:10" x14ac:dyDescent="0.25">
      <c r="A62" s="87"/>
      <c r="B62" s="65"/>
      <c r="C62" s="65"/>
      <c r="D62" s="65"/>
      <c r="E62" s="65"/>
      <c r="F62" s="65"/>
      <c r="G62" s="60"/>
      <c r="H62" s="65"/>
      <c r="I62" s="65"/>
      <c r="J62" s="15"/>
    </row>
    <row r="63" spans="1:10" x14ac:dyDescent="0.25">
      <c r="A63" s="87"/>
      <c r="B63" s="65"/>
      <c r="C63" s="65"/>
      <c r="D63" s="65"/>
      <c r="E63" s="65"/>
      <c r="F63" s="65"/>
      <c r="G63" s="60"/>
      <c r="H63" s="65"/>
      <c r="I63" s="65"/>
      <c r="J63" s="55"/>
    </row>
    <row r="64" spans="1:10" x14ac:dyDescent="0.25">
      <c r="A64" s="87"/>
      <c r="B64" s="65"/>
      <c r="C64" s="65"/>
      <c r="D64" s="65"/>
      <c r="E64" s="65"/>
      <c r="F64" s="65"/>
      <c r="G64" s="60"/>
      <c r="H64" s="65"/>
      <c r="I64" s="65"/>
      <c r="J64" s="15"/>
    </row>
    <row r="65" spans="1:10" x14ac:dyDescent="0.25">
      <c r="A65" s="87"/>
      <c r="B65" s="65"/>
      <c r="C65" s="65"/>
      <c r="D65" s="65"/>
      <c r="E65" s="65"/>
      <c r="F65" s="65"/>
      <c r="G65" s="60"/>
      <c r="H65" s="65"/>
      <c r="I65" s="65"/>
      <c r="J65" s="55"/>
    </row>
    <row r="66" spans="1:10" x14ac:dyDescent="0.25">
      <c r="A66" s="87"/>
      <c r="B66" s="65"/>
      <c r="C66" s="65"/>
      <c r="D66" s="65"/>
      <c r="E66" s="65"/>
      <c r="F66" s="65"/>
      <c r="G66" s="60"/>
      <c r="H66" s="65"/>
      <c r="I66" s="65"/>
      <c r="J66" s="15"/>
    </row>
    <row r="67" spans="1:10" x14ac:dyDescent="0.25">
      <c r="A67" s="87"/>
      <c r="B67" s="65"/>
      <c r="C67" s="65"/>
      <c r="D67" s="65"/>
      <c r="E67" s="65"/>
      <c r="F67" s="65"/>
      <c r="G67" s="60"/>
      <c r="H67" s="65"/>
      <c r="I67" s="65"/>
      <c r="J67" s="55"/>
    </row>
    <row r="68" spans="1:10" x14ac:dyDescent="0.25">
      <c r="A68" s="87"/>
      <c r="B68" s="65"/>
      <c r="C68" s="65"/>
      <c r="D68" s="65"/>
      <c r="E68" s="65"/>
      <c r="F68" s="65"/>
      <c r="G68" s="60"/>
      <c r="H68" s="65"/>
      <c r="I68" s="65"/>
      <c r="J68" s="15"/>
    </row>
    <row r="69" spans="1:10" x14ac:dyDescent="0.25">
      <c r="A69" s="87"/>
      <c r="B69" s="65"/>
      <c r="C69" s="65"/>
      <c r="D69" s="65"/>
      <c r="E69" s="65"/>
      <c r="F69" s="65"/>
      <c r="G69" s="60"/>
      <c r="H69" s="65"/>
      <c r="I69" s="65"/>
      <c r="J69" s="55"/>
    </row>
    <row r="70" spans="1:10" x14ac:dyDescent="0.25">
      <c r="A70" s="87"/>
      <c r="B70" s="65"/>
      <c r="C70" s="65"/>
      <c r="D70" s="65"/>
      <c r="E70" s="65"/>
      <c r="F70" s="65"/>
      <c r="G70" s="60"/>
      <c r="H70" s="65"/>
      <c r="I70" s="65"/>
      <c r="J70" s="15"/>
    </row>
    <row r="71" spans="1:10" x14ac:dyDescent="0.25">
      <c r="A71" s="87"/>
      <c r="B71" s="65"/>
      <c r="C71" s="65"/>
      <c r="D71" s="65"/>
      <c r="E71" s="65"/>
      <c r="F71" s="65"/>
      <c r="G71" s="60"/>
      <c r="H71" s="65"/>
      <c r="I71" s="65"/>
      <c r="J71" s="55"/>
    </row>
    <row r="72" spans="1:10" x14ac:dyDescent="0.25">
      <c r="A72" s="87"/>
      <c r="B72" s="65"/>
      <c r="C72" s="65"/>
      <c r="D72" s="65"/>
      <c r="E72" s="65"/>
      <c r="F72" s="65"/>
      <c r="G72" s="60"/>
      <c r="H72" s="65"/>
      <c r="I72" s="65"/>
      <c r="J72" s="15"/>
    </row>
    <row r="73" spans="1:10" x14ac:dyDescent="0.25">
      <c r="A73" s="87"/>
      <c r="B73" s="65"/>
      <c r="C73" s="65"/>
      <c r="D73" s="65"/>
      <c r="E73" s="65"/>
      <c r="F73" s="65"/>
      <c r="G73" s="60"/>
      <c r="H73" s="65"/>
      <c r="I73" s="65"/>
      <c r="J73" s="55"/>
    </row>
    <row r="74" spans="1:10" x14ac:dyDescent="0.25">
      <c r="A74" s="87"/>
      <c r="B74" s="65"/>
      <c r="C74" s="65"/>
      <c r="D74" s="65"/>
      <c r="E74" s="65"/>
      <c r="F74" s="65"/>
      <c r="G74" s="60"/>
      <c r="H74" s="65"/>
      <c r="I74" s="65"/>
      <c r="J74" s="15"/>
    </row>
    <row r="75" spans="1:10" x14ac:dyDescent="0.25">
      <c r="A75" s="87"/>
      <c r="B75" s="65"/>
      <c r="C75" s="65"/>
      <c r="D75" s="65"/>
      <c r="E75" s="65"/>
      <c r="F75" s="65"/>
      <c r="G75" s="60"/>
      <c r="H75" s="65"/>
      <c r="I75" s="65"/>
      <c r="J75" s="55"/>
    </row>
    <row r="76" spans="1:10" x14ac:dyDescent="0.25">
      <c r="A76" s="87"/>
      <c r="B76" s="65"/>
      <c r="C76" s="65"/>
      <c r="D76" s="65"/>
      <c r="E76" s="65"/>
      <c r="F76" s="65"/>
      <c r="G76" s="60"/>
      <c r="H76" s="65"/>
      <c r="I76" s="65"/>
      <c r="J76" s="15"/>
    </row>
    <row r="77" spans="1:10" x14ac:dyDescent="0.25">
      <c r="A77" s="87"/>
      <c r="B77" s="65"/>
      <c r="C77" s="65"/>
      <c r="D77" s="65"/>
      <c r="E77" s="65"/>
      <c r="F77" s="65"/>
      <c r="G77" s="60"/>
      <c r="H77" s="65"/>
      <c r="I77" s="65"/>
      <c r="J77" s="55"/>
    </row>
    <row r="78" spans="1:10" x14ac:dyDescent="0.25">
      <c r="A78" s="87"/>
      <c r="B78" s="65"/>
      <c r="C78" s="65"/>
      <c r="D78" s="65"/>
      <c r="E78" s="65"/>
      <c r="F78" s="65"/>
      <c r="G78" s="60"/>
      <c r="H78" s="65"/>
      <c r="I78" s="65"/>
      <c r="J78" s="15"/>
    </row>
    <row r="79" spans="1:10" x14ac:dyDescent="0.25">
      <c r="A79" s="87"/>
      <c r="B79" s="65"/>
      <c r="C79" s="65"/>
      <c r="D79" s="65"/>
      <c r="E79" s="65"/>
      <c r="F79" s="65"/>
      <c r="G79" s="60"/>
      <c r="H79" s="65"/>
      <c r="I79" s="65"/>
      <c r="J79" s="55"/>
    </row>
    <row r="80" spans="1:10" x14ac:dyDescent="0.25">
      <c r="A80" s="87"/>
      <c r="B80" s="65"/>
      <c r="C80" s="65"/>
      <c r="D80" s="65"/>
      <c r="E80" s="65"/>
      <c r="F80" s="65"/>
      <c r="G80" s="60"/>
      <c r="H80" s="65"/>
      <c r="I80" s="65"/>
      <c r="J80" s="15"/>
    </row>
    <row r="81" spans="1:10" x14ac:dyDescent="0.25">
      <c r="A81" s="87"/>
      <c r="B81" s="65"/>
      <c r="C81" s="65"/>
      <c r="D81" s="65"/>
      <c r="E81" s="65"/>
      <c r="F81" s="65"/>
      <c r="G81" s="60"/>
      <c r="H81" s="65"/>
      <c r="I81" s="65"/>
      <c r="J81" s="55"/>
    </row>
    <row r="82" spans="1:10" x14ac:dyDescent="0.25">
      <c r="A82" s="87"/>
      <c r="B82" s="65"/>
      <c r="C82" s="65"/>
      <c r="D82" s="65"/>
      <c r="E82" s="65"/>
      <c r="F82" s="65"/>
      <c r="G82" s="60"/>
      <c r="H82" s="65"/>
      <c r="I82" s="65"/>
      <c r="J82" s="15"/>
    </row>
    <row r="83" spans="1:10" x14ac:dyDescent="0.25">
      <c r="A83" s="87"/>
      <c r="B83" s="65"/>
      <c r="C83" s="65"/>
      <c r="D83" s="65"/>
      <c r="E83" s="65"/>
      <c r="F83" s="65"/>
      <c r="G83" s="60"/>
      <c r="H83" s="65"/>
      <c r="I83" s="65"/>
      <c r="J83" s="55"/>
    </row>
    <row r="84" spans="1:10" x14ac:dyDescent="0.25">
      <c r="A84" s="87"/>
      <c r="B84" s="65"/>
      <c r="C84" s="65"/>
      <c r="D84" s="65"/>
      <c r="E84" s="65"/>
      <c r="F84" s="65"/>
      <c r="G84" s="60"/>
      <c r="H84" s="65"/>
      <c r="I84" s="65"/>
      <c r="J84" s="15"/>
    </row>
    <row r="85" spans="1:10" x14ac:dyDescent="0.25">
      <c r="A85" s="87"/>
      <c r="B85" s="65"/>
      <c r="C85" s="65"/>
      <c r="D85" s="65"/>
      <c r="E85" s="65"/>
      <c r="F85" s="65"/>
      <c r="G85" s="60"/>
      <c r="H85" s="65"/>
      <c r="I85" s="65"/>
      <c r="J85" s="55"/>
    </row>
    <row r="86" spans="1:10" x14ac:dyDescent="0.25">
      <c r="A86" s="87"/>
      <c r="B86" s="65"/>
      <c r="C86" s="65"/>
      <c r="D86" s="65"/>
      <c r="E86" s="65"/>
      <c r="F86" s="65"/>
      <c r="G86" s="60"/>
      <c r="H86" s="65"/>
      <c r="I86" s="65"/>
      <c r="J86" s="15"/>
    </row>
    <row r="87" spans="1:10" x14ac:dyDescent="0.25">
      <c r="A87" s="87"/>
      <c r="B87" s="65"/>
      <c r="C87" s="65"/>
      <c r="D87" s="65"/>
      <c r="E87" s="65"/>
      <c r="F87" s="65"/>
      <c r="G87" s="60"/>
      <c r="H87" s="65"/>
      <c r="I87" s="65"/>
      <c r="J87" s="55"/>
    </row>
    <row r="88" spans="1:10" x14ac:dyDescent="0.25">
      <c r="A88" s="87"/>
      <c r="B88" s="65"/>
      <c r="C88" s="65"/>
      <c r="D88" s="65"/>
      <c r="E88" s="65"/>
      <c r="F88" s="65"/>
      <c r="G88" s="60"/>
      <c r="H88" s="65"/>
      <c r="I88" s="65"/>
      <c r="J88" s="15"/>
    </row>
    <row r="89" spans="1:10" x14ac:dyDescent="0.25">
      <c r="A89" s="87"/>
      <c r="B89" s="65"/>
      <c r="C89" s="65"/>
      <c r="D89" s="65"/>
      <c r="E89" s="65"/>
      <c r="F89" s="65"/>
      <c r="G89" s="60"/>
      <c r="H89" s="65"/>
      <c r="I89" s="65"/>
      <c r="J89" s="55"/>
    </row>
    <row r="90" spans="1:10" x14ac:dyDescent="0.25">
      <c r="A90" s="87"/>
      <c r="B90" s="65"/>
      <c r="C90" s="65"/>
      <c r="D90" s="65"/>
      <c r="E90" s="65"/>
      <c r="F90" s="65"/>
      <c r="G90" s="60"/>
      <c r="H90" s="65"/>
      <c r="I90" s="65"/>
      <c r="J90" s="15"/>
    </row>
    <row r="91" spans="1:10" x14ac:dyDescent="0.25">
      <c r="A91" s="87"/>
      <c r="B91" s="65"/>
      <c r="C91" s="65"/>
      <c r="D91" s="65"/>
      <c r="E91" s="65"/>
      <c r="F91" s="65"/>
      <c r="G91" s="60"/>
      <c r="H91" s="65"/>
      <c r="I91" s="65"/>
      <c r="J91" s="55"/>
    </row>
    <row r="92" spans="1:10" x14ac:dyDescent="0.25">
      <c r="A92" s="87"/>
      <c r="B92" s="65"/>
      <c r="C92" s="65"/>
      <c r="D92" s="65"/>
      <c r="E92" s="65"/>
      <c r="F92" s="65"/>
      <c r="G92" s="60"/>
      <c r="H92" s="65"/>
      <c r="I92" s="65"/>
      <c r="J92" s="15"/>
    </row>
    <row r="93" spans="1:10" x14ac:dyDescent="0.25">
      <c r="A93" s="87"/>
      <c r="B93" s="65"/>
      <c r="C93" s="65"/>
      <c r="D93" s="65"/>
      <c r="E93" s="65"/>
      <c r="F93" s="65"/>
      <c r="G93" s="60"/>
      <c r="H93" s="65"/>
      <c r="I93" s="65"/>
      <c r="J93" s="55"/>
    </row>
    <row r="94" spans="1:10" x14ac:dyDescent="0.25">
      <c r="A94" s="87"/>
      <c r="B94" s="65"/>
      <c r="C94" s="65"/>
      <c r="D94" s="65"/>
      <c r="E94" s="65"/>
      <c r="F94" s="65"/>
      <c r="G94" s="60"/>
      <c r="H94" s="65"/>
      <c r="I94" s="65"/>
      <c r="J94" s="15"/>
    </row>
    <row r="95" spans="1:10" x14ac:dyDescent="0.25">
      <c r="A95" s="87"/>
      <c r="B95" s="65"/>
      <c r="C95" s="65"/>
      <c r="D95" s="65"/>
      <c r="E95" s="65"/>
      <c r="F95" s="65"/>
      <c r="G95" s="60"/>
      <c r="H95" s="65"/>
      <c r="I95" s="65"/>
      <c r="J95" s="55"/>
    </row>
    <row r="96" spans="1:10" x14ac:dyDescent="0.25">
      <c r="A96" s="87"/>
      <c r="B96" s="65"/>
      <c r="C96" s="65"/>
      <c r="D96" s="65"/>
      <c r="E96" s="65"/>
      <c r="F96" s="65"/>
      <c r="G96" s="60"/>
      <c r="H96" s="65"/>
      <c r="I96" s="65"/>
      <c r="J96" s="15"/>
    </row>
    <row r="97" spans="1:10" x14ac:dyDescent="0.25">
      <c r="A97" s="87"/>
      <c r="B97" s="65"/>
      <c r="C97" s="65"/>
      <c r="D97" s="65"/>
      <c r="E97" s="65"/>
      <c r="F97" s="65"/>
      <c r="G97" s="60"/>
      <c r="H97" s="65"/>
      <c r="I97" s="65"/>
      <c r="J97" s="55"/>
    </row>
    <row r="98" spans="1:10" x14ac:dyDescent="0.25">
      <c r="A98" s="87"/>
      <c r="B98" s="65"/>
      <c r="C98" s="65"/>
      <c r="D98" s="65"/>
      <c r="E98" s="65"/>
      <c r="F98" s="65"/>
      <c r="G98" s="60"/>
      <c r="H98" s="65"/>
      <c r="I98" s="65"/>
      <c r="J98" s="15"/>
    </row>
    <row r="99" spans="1:10" x14ac:dyDescent="0.25">
      <c r="A99" s="87"/>
      <c r="B99" s="65"/>
      <c r="C99" s="65"/>
      <c r="D99" s="65"/>
      <c r="E99" s="65"/>
      <c r="F99" s="65"/>
      <c r="G99" s="60"/>
      <c r="H99" s="65"/>
      <c r="I99" s="65"/>
      <c r="J99" s="55"/>
    </row>
    <row r="100" spans="1:10" x14ac:dyDescent="0.25">
      <c r="A100" s="87"/>
      <c r="B100" s="65"/>
      <c r="C100" s="65"/>
      <c r="D100" s="65"/>
      <c r="E100" s="65"/>
      <c r="F100" s="65"/>
      <c r="G100" s="60"/>
      <c r="H100" s="65"/>
      <c r="I100" s="65"/>
      <c r="J100" s="15"/>
    </row>
    <row r="101" spans="1:10" x14ac:dyDescent="0.25">
      <c r="A101" s="87"/>
      <c r="B101" s="65"/>
      <c r="C101" s="65"/>
      <c r="D101" s="65"/>
      <c r="E101" s="65"/>
      <c r="F101" s="65"/>
      <c r="G101" s="60"/>
      <c r="H101" s="65"/>
      <c r="I101" s="65"/>
      <c r="J101" s="55"/>
    </row>
    <row r="102" spans="1:10" x14ac:dyDescent="0.25">
      <c r="A102" s="87"/>
      <c r="B102" s="65"/>
      <c r="C102" s="65"/>
      <c r="D102" s="65"/>
      <c r="E102" s="65"/>
      <c r="F102" s="65"/>
      <c r="G102" s="60"/>
      <c r="H102" s="65"/>
      <c r="I102" s="65"/>
      <c r="J102" s="15"/>
    </row>
    <row r="103" spans="1:10" x14ac:dyDescent="0.25">
      <c r="A103" s="87"/>
      <c r="B103" s="65"/>
      <c r="C103" s="65"/>
      <c r="D103" s="65"/>
      <c r="E103" s="65"/>
      <c r="F103" s="65"/>
      <c r="G103" s="60"/>
      <c r="H103" s="65"/>
      <c r="I103" s="65"/>
      <c r="J103" s="55"/>
    </row>
    <row r="104" spans="1:10" x14ac:dyDescent="0.25">
      <c r="A104" s="87"/>
      <c r="B104" s="65"/>
      <c r="C104" s="65"/>
      <c r="D104" s="65"/>
      <c r="E104" s="65"/>
      <c r="F104" s="65"/>
      <c r="G104" s="60"/>
      <c r="H104" s="65"/>
      <c r="I104" s="65"/>
      <c r="J104" s="15"/>
    </row>
    <row r="105" spans="1:10" x14ac:dyDescent="0.25">
      <c r="A105" s="87"/>
      <c r="B105" s="65"/>
      <c r="C105" s="65"/>
      <c r="D105" s="65"/>
      <c r="E105" s="65"/>
      <c r="F105" s="65"/>
      <c r="G105" s="60"/>
      <c r="H105" s="65"/>
      <c r="I105" s="65"/>
      <c r="J105" s="55"/>
    </row>
    <row r="108" spans="1:10" ht="24" customHeight="1" x14ac:dyDescent="0.25">
      <c r="A108" s="9" t="s">
        <v>463</v>
      </c>
      <c r="B108" s="9"/>
      <c r="C108" s="9"/>
      <c r="D108" s="9"/>
      <c r="E108" s="9"/>
      <c r="F108" s="9"/>
      <c r="G108" s="9"/>
      <c r="H108" s="9"/>
      <c r="I108" s="9"/>
      <c r="J108" s="9"/>
    </row>
    <row r="109" spans="1:10" ht="30" customHeight="1" x14ac:dyDescent="0.25">
      <c r="A109" s="12" t="s">
        <v>459</v>
      </c>
      <c r="B109" s="12" t="s">
        <v>464</v>
      </c>
      <c r="C109" s="12" t="s">
        <v>465</v>
      </c>
      <c r="D109" s="12" t="s">
        <v>460</v>
      </c>
      <c r="E109" s="12" t="s">
        <v>58</v>
      </c>
      <c r="F109" s="12"/>
      <c r="G109" s="12"/>
      <c r="H109" s="12"/>
      <c r="I109" s="12"/>
      <c r="J109" s="12"/>
    </row>
    <row r="110" spans="1:10" x14ac:dyDescent="0.25">
      <c r="A110" s="13" t="s">
        <v>466</v>
      </c>
      <c r="B110" s="26">
        <f>COUNTIF(F6:F105,"Annual Leave")</f>
        <v>0</v>
      </c>
      <c r="C110" s="26">
        <f>B110</f>
        <v>0</v>
      </c>
      <c r="D110" s="26">
        <f>SUMIF(F6:F105,"Annual Leave",G6:G105)</f>
        <v>0</v>
      </c>
      <c r="E110" s="27">
        <f>IF(B115&gt;0,B110/B115,0)</f>
        <v>0</v>
      </c>
    </row>
    <row r="111" spans="1:10" x14ac:dyDescent="0.25">
      <c r="A111" s="13" t="s">
        <v>467</v>
      </c>
      <c r="B111" s="26">
        <f>COUNTIF(F6:F105,"Sickness")</f>
        <v>0</v>
      </c>
      <c r="C111" s="26">
        <f>B111</f>
        <v>0</v>
      </c>
      <c r="D111" s="26">
        <f>SUMIF(F6:F105,"Sickness",G6:G105)</f>
        <v>0</v>
      </c>
      <c r="E111" s="27">
        <f>IF(B115&gt;0,B111/B115,0)</f>
        <v>0</v>
      </c>
    </row>
    <row r="112" spans="1:10" x14ac:dyDescent="0.25">
      <c r="A112" s="13" t="s">
        <v>468</v>
      </c>
      <c r="B112" s="26">
        <f>COUNTIF(F6:F105,"PLT")</f>
        <v>0</v>
      </c>
      <c r="C112" s="26">
        <f>B112</f>
        <v>0</v>
      </c>
      <c r="D112" s="26">
        <f>SUMIF(F6:F105,"PLT",G6:G105)</f>
        <v>0</v>
      </c>
      <c r="E112" s="27">
        <f>IF(B115&gt;0,B112/B115,0)</f>
        <v>0</v>
      </c>
    </row>
    <row r="113" spans="1:10" x14ac:dyDescent="0.25">
      <c r="A113" s="13" t="s">
        <v>469</v>
      </c>
      <c r="B113" s="26">
        <f>COUNTIF(F6:F105,"Study Leave")</f>
        <v>0</v>
      </c>
      <c r="C113" s="26">
        <f>B113</f>
        <v>0</v>
      </c>
      <c r="D113" s="26">
        <f>SUMIF(F6:F105,"Study Leave",G6:G105)</f>
        <v>0</v>
      </c>
      <c r="E113" s="27">
        <f>IF(B115&gt;0,B113/B115,0)</f>
        <v>0</v>
      </c>
    </row>
    <row r="114" spans="1:10" x14ac:dyDescent="0.25">
      <c r="A114" s="13" t="s">
        <v>470</v>
      </c>
      <c r="B114" s="26">
        <f>COUNTIF(F6:F105,"Other")</f>
        <v>0</v>
      </c>
      <c r="C114" s="26">
        <f>B114</f>
        <v>0</v>
      </c>
      <c r="D114" s="26">
        <f>SUMIF(F6:F105,"Other",G6:G105)</f>
        <v>0</v>
      </c>
      <c r="E114" s="27">
        <f>IF(B115&gt;0,B114/B115,0)</f>
        <v>0</v>
      </c>
    </row>
    <row r="115" spans="1:10" x14ac:dyDescent="0.25">
      <c r="A115" s="28" t="s">
        <v>70</v>
      </c>
      <c r="B115" s="29">
        <f>SUM(B110:B114)</f>
        <v>0</v>
      </c>
      <c r="C115" s="29">
        <f>SUM(C110:C114)</f>
        <v>0</v>
      </c>
      <c r="D115" s="29">
        <f>SUM(D110:D114)</f>
        <v>0</v>
      </c>
    </row>
    <row r="118" spans="1:10" ht="24" customHeight="1" x14ac:dyDescent="0.25">
      <c r="A118" s="9" t="s">
        <v>471</v>
      </c>
      <c r="B118" s="9"/>
      <c r="C118" s="9"/>
      <c r="D118" s="9"/>
      <c r="E118" s="9"/>
      <c r="F118" s="9"/>
      <c r="G118" s="9"/>
      <c r="H118" s="9"/>
      <c r="I118" s="9"/>
      <c r="J118" s="9"/>
    </row>
    <row r="119" spans="1:10" ht="30" customHeight="1" x14ac:dyDescent="0.25">
      <c r="A119" s="12" t="s">
        <v>54</v>
      </c>
      <c r="B119" s="12" t="s">
        <v>472</v>
      </c>
      <c r="C119" s="12" t="s">
        <v>460</v>
      </c>
      <c r="D119" s="12" t="s">
        <v>466</v>
      </c>
      <c r="E119" s="12" t="s">
        <v>467</v>
      </c>
      <c r="F119" s="12" t="s">
        <v>468</v>
      </c>
      <c r="G119" s="12" t="s">
        <v>469</v>
      </c>
      <c r="H119" s="12" t="s">
        <v>470</v>
      </c>
      <c r="I119" s="12"/>
      <c r="J119" s="12"/>
    </row>
    <row r="120" spans="1:10" x14ac:dyDescent="0.25">
      <c r="A120" s="13" t="s">
        <v>59</v>
      </c>
      <c r="B120" s="26">
        <f>COUNTIF(C6:C105,A120)</f>
        <v>0</v>
      </c>
      <c r="C120" s="26">
        <f>SUMIF(C6:C105,A120,G6:G105)</f>
        <v>0</v>
      </c>
      <c r="D120" s="26">
        <f>COUNTIFS(C6:C105,A120,F6:F105,"Annual Leave")</f>
        <v>0</v>
      </c>
      <c r="E120" s="26">
        <f>COUNTIFS(C6:C105,A120,F6:F105,"Sickness")</f>
        <v>0</v>
      </c>
      <c r="F120" s="26">
        <f>COUNTIFS(C6:C105,A120,F6:F105,"PLT")</f>
        <v>0</v>
      </c>
      <c r="G120" s="26">
        <f>COUNTIFS(C6:C105,A120,F6:F105,"Study Leave")</f>
        <v>0</v>
      </c>
      <c r="H120" s="26">
        <f>COUNTIFS(C6:C105,A120,F6:F105,"Other")</f>
        <v>0</v>
      </c>
    </row>
    <row r="121" spans="1:10" x14ac:dyDescent="0.25">
      <c r="A121" s="13" t="s">
        <v>62</v>
      </c>
      <c r="B121" s="26">
        <f>COUNTIF(C6:C105,A121)</f>
        <v>0</v>
      </c>
      <c r="C121" s="26">
        <f>SUMIF(C6:C105,A121,G6:G105)</f>
        <v>0</v>
      </c>
      <c r="D121" s="26">
        <f>COUNTIFS(C6:C105,A121,F6:F105,"Annual Leave")</f>
        <v>0</v>
      </c>
      <c r="E121" s="26">
        <f>COUNTIFS(C6:C105,A121,F6:F105,"Sickness")</f>
        <v>0</v>
      </c>
      <c r="F121" s="26">
        <f>COUNTIFS(C6:C105,A121,F6:F105,"PLT")</f>
        <v>0</v>
      </c>
      <c r="G121" s="26">
        <f>COUNTIFS(C6:C105,A121,F6:F105,"Study Leave")</f>
        <v>0</v>
      </c>
      <c r="H121" s="26">
        <f>COUNTIFS(C6:C105,A121,F6:F105,"Other")</f>
        <v>0</v>
      </c>
    </row>
    <row r="122" spans="1:10" x14ac:dyDescent="0.25">
      <c r="A122" s="13" t="s">
        <v>63</v>
      </c>
      <c r="B122" s="26">
        <f>COUNTIF(C6:C105,A122)</f>
        <v>0</v>
      </c>
      <c r="C122" s="26">
        <f>SUMIF(C6:C105,A122,G6:G105)</f>
        <v>0</v>
      </c>
      <c r="D122" s="26">
        <f>COUNTIFS(C6:C105,A122,F6:F105,"Annual Leave")</f>
        <v>0</v>
      </c>
      <c r="E122" s="26">
        <f>COUNTIFS(C6:C105,A122,F6:F105,"Sickness")</f>
        <v>0</v>
      </c>
      <c r="F122" s="26">
        <f>COUNTIFS(C6:C105,A122,F6:F105,"PLT")</f>
        <v>0</v>
      </c>
      <c r="G122" s="26">
        <f>COUNTIFS(C6:C105,A122,F6:F105,"Study Leave")</f>
        <v>0</v>
      </c>
      <c r="H122" s="26">
        <f>COUNTIFS(C6:C105,A122,F6:F105,"Other")</f>
        <v>0</v>
      </c>
    </row>
    <row r="123" spans="1:10" x14ac:dyDescent="0.25">
      <c r="A123" s="13" t="s">
        <v>66</v>
      </c>
      <c r="B123" s="26">
        <f>COUNTIF(C6:C105,A123)</f>
        <v>0</v>
      </c>
      <c r="C123" s="26">
        <f>SUMIF(C6:C105,A123,G6:G105)</f>
        <v>0</v>
      </c>
      <c r="D123" s="26">
        <f>COUNTIFS(C6:C105,A123,F6:F105,"Annual Leave")</f>
        <v>0</v>
      </c>
      <c r="E123" s="26">
        <f>COUNTIFS(C6:C105,A123,F6:F105,"Sickness")</f>
        <v>0</v>
      </c>
      <c r="F123" s="26">
        <f>COUNTIFS(C6:C105,A123,F6:F105,"PLT")</f>
        <v>0</v>
      </c>
      <c r="G123" s="26">
        <f>COUNTIFS(C6:C105,A123,F6:F105,"Study Leave")</f>
        <v>0</v>
      </c>
      <c r="H123" s="26">
        <f>COUNTIFS(C6:C105,A123,F6:F105,"Other")</f>
        <v>0</v>
      </c>
    </row>
    <row r="124" spans="1:10" x14ac:dyDescent="0.25">
      <c r="A124" s="13" t="s">
        <v>67</v>
      </c>
      <c r="B124" s="26">
        <f>COUNTIF(C6:C105,A124)</f>
        <v>0</v>
      </c>
      <c r="C124" s="26">
        <f>SUMIF(C6:C105,A124,G6:G105)</f>
        <v>0</v>
      </c>
      <c r="D124" s="26">
        <f>COUNTIFS(C6:C105,A124,F6:F105,"Annual Leave")</f>
        <v>0</v>
      </c>
      <c r="E124" s="26">
        <f>COUNTIFS(C6:C105,A124,F6:F105,"Sickness")</f>
        <v>0</v>
      </c>
      <c r="F124" s="26">
        <f>COUNTIFS(C6:C105,A124,F6:F105,"PLT")</f>
        <v>0</v>
      </c>
      <c r="G124" s="26">
        <f>COUNTIFS(C6:C105,A124,F6:F105,"Study Leave")</f>
        <v>0</v>
      </c>
      <c r="H124" s="26">
        <f>COUNTIFS(C6:C105,A124,F6:F105,"Other")</f>
        <v>0</v>
      </c>
    </row>
    <row r="125" spans="1:10" x14ac:dyDescent="0.25">
      <c r="A125" s="13" t="s">
        <v>68</v>
      </c>
      <c r="B125" s="26">
        <f>COUNTIF(C6:C105,A125)</f>
        <v>0</v>
      </c>
      <c r="C125" s="26">
        <f>SUMIF(C6:C105,A125,G6:G105)</f>
        <v>0</v>
      </c>
      <c r="D125" s="26">
        <f>COUNTIFS(C6:C105,A125,F6:F105,"Annual Leave")</f>
        <v>0</v>
      </c>
      <c r="E125" s="26">
        <f>COUNTIFS(C6:C105,A125,F6:F105,"Sickness")</f>
        <v>0</v>
      </c>
      <c r="F125" s="26">
        <f>COUNTIFS(C6:C105,A125,F6:F105,"PLT")</f>
        <v>0</v>
      </c>
      <c r="G125" s="26">
        <f>COUNTIFS(C6:C105,A125,F6:F105,"Study Leave")</f>
        <v>0</v>
      </c>
      <c r="H125" s="26">
        <f>COUNTIFS(C6:C105,A125,F6:F105,"Other")</f>
        <v>0</v>
      </c>
    </row>
    <row r="126" spans="1:10" x14ac:dyDescent="0.25">
      <c r="A126" s="13" t="s">
        <v>69</v>
      </c>
      <c r="B126" s="26">
        <f>COUNTIF(C6:C105,A126)</f>
        <v>0</v>
      </c>
      <c r="C126" s="26">
        <f>SUMIF(C6:C105,A126,G6:G105)</f>
        <v>0</v>
      </c>
      <c r="D126" s="26">
        <f>COUNTIFS(C6:C105,A126,F6:F105,"Annual Leave")</f>
        <v>0</v>
      </c>
      <c r="E126" s="26">
        <f>COUNTIFS(C6:C105,A126,F6:F105,"Sickness")</f>
        <v>0</v>
      </c>
      <c r="F126" s="26">
        <f>COUNTIFS(C6:C105,A126,F6:F105,"PLT")</f>
        <v>0</v>
      </c>
      <c r="G126" s="26">
        <f>COUNTIFS(C6:C105,A126,F6:F105,"Study Leave")</f>
        <v>0</v>
      </c>
      <c r="H126" s="26">
        <f>COUNTIFS(C6:C105,A126,F6:F105,"Other")</f>
        <v>0</v>
      </c>
    </row>
    <row r="127" spans="1:10" x14ac:dyDescent="0.25">
      <c r="A127" s="28" t="s">
        <v>70</v>
      </c>
      <c r="B127" s="29">
        <f t="shared" ref="B127:H127" si="0">SUM(B120:B126)</f>
        <v>0</v>
      </c>
      <c r="C127" s="29">
        <f t="shared" si="0"/>
        <v>0</v>
      </c>
      <c r="D127" s="29">
        <f t="shared" si="0"/>
        <v>0</v>
      </c>
      <c r="E127" s="29">
        <f t="shared" si="0"/>
        <v>0</v>
      </c>
      <c r="F127" s="29">
        <f t="shared" si="0"/>
        <v>0</v>
      </c>
      <c r="G127" s="29">
        <f t="shared" si="0"/>
        <v>0</v>
      </c>
      <c r="H127" s="29">
        <f t="shared" si="0"/>
        <v>0</v>
      </c>
    </row>
  </sheetData>
  <mergeCells count="5">
    <mergeCell ref="A1:J1"/>
    <mergeCell ref="A2:J2"/>
    <mergeCell ref="A4:J4"/>
    <mergeCell ref="A108:J108"/>
    <mergeCell ref="A118:J118"/>
  </mergeCells>
  <dataValidations count="4">
    <dataValidation type="list" allowBlank="1" sqref="F6:F105" xr:uid="{00000000-0002-0000-1300-000000000000}">
      <formula1>"Annual Leave,Sickness,PLT,Study Leave,Other"</formula1>
      <formula2>0</formula2>
    </dataValidation>
    <dataValidation type="list" allowBlank="1" sqref="H6:H105" xr:uid="{00000000-0002-0000-1300-000001000000}">
      <formula1>"Yes,No,Partial"</formula1>
      <formula2>0</formula2>
    </dataValidation>
    <dataValidation type="list" allowBlank="1" sqref="E6:E105" xr:uid="{00000000-0002-0000-1300-000002000000}">
      <formula1>"AM,PM,Evening,Full Day"</formula1>
      <formula2>0</formula2>
    </dataValidation>
    <dataValidation type="list" allowBlank="1" sqref="C6:C105" xr:uid="{00000000-0002-0000-1300-000003000000}">
      <formula1>"The Parks MC,Brackley MC,Springfield Surgery,Towcester MC,Bugbrooke Surgery,Brook Health Centre,Denton Village Surgery"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Assumptions</vt:lpstr>
      <vt:lpstr>Practice Allocations</vt:lpstr>
      <vt:lpstr>Room Capacity</vt:lpstr>
      <vt:lpstr>Weekly Rota</vt:lpstr>
      <vt:lpstr>Buy-Back Tracker</vt:lpstr>
      <vt:lpstr>Cash Flow</vt:lpstr>
      <vt:lpstr>Compliance Tracker</vt:lpstr>
      <vt:lpstr>Workforce</vt:lpstr>
      <vt:lpstr>Practice Contacts</vt:lpstr>
      <vt:lpstr>Monthly Rota</vt:lpstr>
      <vt:lpstr>Audit Log</vt:lpstr>
      <vt:lpstr>Parks</vt:lpstr>
      <vt:lpstr>Brackley</vt:lpstr>
      <vt:lpstr>Springfield</vt:lpstr>
      <vt:lpstr>Towcester</vt:lpstr>
      <vt:lpstr>Bugbrooke</vt:lpstr>
      <vt:lpstr>Brook</vt:lpstr>
      <vt:lpstr>Denton</vt:lpstr>
      <vt:lpstr>DNA Tracking</vt:lpstr>
      <vt:lpstr>Absence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RAILSON, Malcolm (NHS NORTHAMPTONSHIRE ICB - 78H)</cp:lastModifiedBy>
  <cp:revision>0</cp:revision>
  <dcterms:created xsi:type="dcterms:W3CDTF">2026-02-19T09:47:17Z</dcterms:created>
  <dcterms:modified xsi:type="dcterms:W3CDTF">2026-02-23T08:58:15Z</dcterms:modified>
  <dc:language>en-US</dc:language>
</cp:coreProperties>
</file>